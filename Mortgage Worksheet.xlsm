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369DA175-F34C-4562-BAB8-89E838E90255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3" l="1"/>
  <c r="I11" i="3"/>
  <c r="I12" i="3" s="1"/>
  <c r="I13" i="3" s="1"/>
  <c r="F12" i="3"/>
  <c r="F13" i="3" s="1"/>
  <c r="M13" i="3" s="1"/>
  <c r="H11" i="3"/>
  <c r="H12" i="3" s="1"/>
  <c r="H13" i="3" s="1"/>
  <c r="N6" i="3"/>
  <c r="N7" i="3"/>
  <c r="M12" i="3" l="1"/>
  <c r="K10" i="3"/>
  <c r="N10" i="3" s="1"/>
  <c r="O10" i="3" s="1"/>
  <c r="K11" i="3"/>
  <c r="N11" i="3" s="1"/>
  <c r="O11" i="3" s="1"/>
  <c r="K12" i="3"/>
  <c r="N12" i="3" s="1"/>
  <c r="O12" i="3" s="1"/>
  <c r="K13" i="3"/>
  <c r="N13" i="3" s="1"/>
  <c r="O13" i="3" s="1"/>
  <c r="P13" i="3" l="1"/>
  <c r="Q13" i="3" s="1"/>
  <c r="P12" i="3"/>
  <c r="Q12" i="3" s="1"/>
  <c r="P11" i="3"/>
  <c r="Q11" i="3" s="1"/>
  <c r="I10" i="2" l="1"/>
  <c r="I11" i="2"/>
  <c r="I12" i="2"/>
  <c r="I13" i="2"/>
  <c r="I14" i="2"/>
  <c r="I15" i="2"/>
  <c r="I16" i="2"/>
  <c r="I17" i="2"/>
  <c r="I18" i="2"/>
  <c r="I19" i="2"/>
  <c r="I20" i="2"/>
  <c r="I9" i="2"/>
  <c r="C5" i="1"/>
  <c r="E4" i="2"/>
  <c r="A9" i="2"/>
  <c r="G24" i="2" l="1"/>
  <c r="M10" i="2"/>
  <c r="M11" i="2"/>
  <c r="M12" i="2"/>
  <c r="M13" i="2"/>
  <c r="M14" i="2"/>
  <c r="M15" i="2"/>
  <c r="M16" i="2"/>
  <c r="M17" i="2"/>
  <c r="M18" i="2"/>
  <c r="M19" i="2"/>
  <c r="M20" i="2"/>
  <c r="M9" i="2"/>
  <c r="K10" i="2"/>
  <c r="K11" i="2"/>
  <c r="K12" i="2"/>
  <c r="K13" i="2"/>
  <c r="K14" i="2"/>
  <c r="K15" i="2"/>
  <c r="K16" i="2"/>
  <c r="K17" i="2"/>
  <c r="K18" i="2"/>
  <c r="K19" i="2"/>
  <c r="K20" i="2"/>
  <c r="L9" i="2"/>
  <c r="L12" i="2" s="1"/>
  <c r="K9" i="2"/>
  <c r="L19" i="2" l="1"/>
  <c r="L18" i="2"/>
  <c r="L17" i="2"/>
  <c r="L11" i="2"/>
  <c r="L16" i="2"/>
  <c r="L15" i="2"/>
  <c r="L14" i="2"/>
  <c r="L10" i="2"/>
  <c r="L13" i="2"/>
  <c r="L20" i="2"/>
  <c r="C15" i="1"/>
  <c r="C16" i="3" s="1"/>
  <c r="C14" i="1"/>
  <c r="C9" i="2"/>
  <c r="C17" i="3" l="1"/>
  <c r="C9" i="1"/>
  <c r="I24" i="2"/>
  <c r="C8" i="1" l="1"/>
  <c r="F11" i="2" s="1"/>
  <c r="E19" i="2"/>
  <c r="E14" i="2" l="1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H4" i="2"/>
  <c r="C12" i="2" l="1"/>
  <c r="D12" i="2" s="1"/>
  <c r="B12" i="2" s="1"/>
  <c r="C13" i="2" s="1"/>
  <c r="D13" i="2" s="1"/>
  <c r="B13" i="2" l="1"/>
  <c r="C14" i="2" l="1"/>
  <c r="D14" i="2" l="1"/>
  <c r="B14" i="2" s="1"/>
  <c r="C15" i="2" s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6" i="3"/>
  <c r="C19" i="2" l="1"/>
  <c r="D19" i="2" l="1"/>
  <c r="B19" i="2" l="1"/>
  <c r="C20" i="2" l="1"/>
  <c r="D20" i="2" l="1"/>
  <c r="C24" i="2"/>
  <c r="C27" i="2" s="1"/>
  <c r="F4" i="2" s="1"/>
  <c r="D24" i="2" l="1"/>
  <c r="B20" i="2"/>
  <c r="I4" i="2"/>
  <c r="C8" i="3"/>
  <c r="C4" i="3" l="1"/>
  <c r="C10" i="3"/>
  <c r="C12" i="3" l="1"/>
  <c r="C11" i="3"/>
  <c r="C7" i="3"/>
  <c r="C5" i="3" s="1"/>
  <c r="C9" i="3" s="1"/>
</calcChain>
</file>

<file path=xl/sharedStrings.xml><?xml version="1.0" encoding="utf-8"?>
<sst xmlns="http://schemas.openxmlformats.org/spreadsheetml/2006/main" count="86" uniqueCount="76">
  <si>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</si>
  <si>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</si>
  <si>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</si>
  <si>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</si>
  <si>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</si>
  <si>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</si>
  <si>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</si>
  <si>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</si>
  <si>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</si>
  <si>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</si>
  <si>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</si>
  <si>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</si>
  <si>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Min. Payment/mo (equivalent to monthly rent)</t>
  </si>
  <si>
    <t>Payment Made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</si>
  <si>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</si>
  <si>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</si>
  <si>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</si>
  <si>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</si>
  <si>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</si>
  <si>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</si>
  <si>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</si>
  <si>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Min. Payment/yr (equivlanet to yearly rent)</t>
  </si>
  <si>
    <t>Fees This Year</t>
  </si>
  <si>
    <t>Rent/mo</t>
  </si>
  <si>
    <t>Rent/yr</t>
  </si>
  <si>
    <t>Rent or Buy Analysis</t>
  </si>
  <si>
    <t>$ Amount Lost or Saved/yr When Buying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</si>
  <si>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</si>
  <si>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</si>
  <si>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</si>
  <si>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</si>
  <si>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</si>
  <si>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</si>
  <si>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</si>
  <si>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</si>
  <si>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</si>
  <si>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</si>
  <si>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</si>
  <si>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</si>
  <si>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</si>
  <si>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</si>
  <si>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</si>
  <si>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</si>
  <si>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</si>
  <si>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</si>
  <si>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</si>
  <si>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Payment Made This Year</t>
  </si>
  <si>
    <t>Unrecoverable Costs This Year</t>
  </si>
  <si>
    <t>By Bill Shi</t>
  </si>
  <si>
    <t>Doc Type</t>
  </si>
  <si>
    <t>MW</t>
  </si>
  <si>
    <t>Mortgage Payment This mo (at least fixed rate amount)</t>
  </si>
  <si>
    <t>Improvement/Repair Cost</t>
  </si>
  <si>
    <t>Fees/mo (Upkeep+HOA+Tax+Preminum)</t>
  </si>
  <si>
    <t>Deferred Buying Analysis</t>
  </si>
  <si>
    <t>Rent Expense Accured</t>
  </si>
  <si>
    <t>Down Payment</t>
  </si>
  <si>
    <t>Down Payment Saving/mo</t>
  </si>
  <si>
    <t>Home Price</t>
  </si>
  <si>
    <t>Fixed Rate Payment</t>
  </si>
  <si>
    <t>How Much Less Interest You Pay</t>
  </si>
  <si>
    <t>Months Deferred</t>
  </si>
  <si>
    <t>Loan Term (Mo)</t>
  </si>
  <si>
    <t>Loan Term (Yr)</t>
  </si>
  <si>
    <t>Interest/mo</t>
  </si>
  <si>
    <t>Property Fees/mo</t>
  </si>
  <si>
    <t>$ saved or lost over x months when paying rent (vs. interest)</t>
  </si>
  <si>
    <t>Property Fees Accured</t>
  </si>
  <si>
    <t>Document Version 1.2</t>
  </si>
  <si>
    <t>Buying Costs</t>
  </si>
  <si>
    <t>Apprasial Fee</t>
  </si>
  <si>
    <t>Title Insurance</t>
  </si>
  <si>
    <t>Attorney Fees</t>
  </si>
  <si>
    <t>Loan Origination Fees</t>
  </si>
  <si>
    <t>Selling Costs</t>
  </si>
  <si>
    <t>Real Estate Agent Commision 5%-6%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</si>
</sst>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3" borderId="1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44" fontId="0" fillId="0" borderId="21" xfId="0" applyNumberFormat="1" applyBorder="1" applyAlignment="1">
      <alignment wrapText="1"/>
    </xf>
    <xf numFmtId="8" fontId="0" fillId="0" borderId="0" xfId="0" applyNumberFormat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0" xfId="0" applyFill="1"/>
    <xf numFmtId="0" fontId="0" fillId="5" borderId="3" xfId="0" applyFill="1" applyBorder="1"/>
    <xf numFmtId="0" fontId="0" fillId="5" borderId="0" xfId="0" applyFill="1" applyBorder="1" applyAlignment="1">
      <alignment wrapText="1"/>
    </xf>
    <xf numFmtId="0" fontId="0" fillId="5" borderId="0" xfId="0" applyFill="1" applyBorder="1"/>
    <xf numFmtId="0" fontId="0" fillId="5" borderId="4" xfId="0" applyFill="1" applyBorder="1"/>
    <xf numFmtId="10" fontId="0" fillId="5" borderId="0" xfId="0" applyNumberFormat="1" applyFill="1" applyBorder="1" applyAlignment="1"/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2" borderId="7" xfId="0" applyFill="1" applyBorder="1" applyAlignment="1">
      <alignment wrapText="1"/>
    </xf>
    <xf numFmtId="0" fontId="0" fillId="2" borderId="11" xfId="0" applyFill="1" applyBorder="1" applyAlignment="1">
      <alignment wrapText="1"/>
    </xf>
    <xf numFmtId="0" fontId="0" fillId="2" borderId="11" xfId="0" applyFill="1" applyBorder="1"/>
    <xf numFmtId="8" fontId="0" fillId="2" borderId="11" xfId="0" applyNumberFormat="1" applyFill="1" applyBorder="1" applyAlignment="1">
      <alignment wrapText="1"/>
    </xf>
    <xf numFmtId="8" fontId="0" fillId="2" borderId="11" xfId="0" applyNumberFormat="1" applyFill="1" applyBorder="1"/>
    <xf numFmtId="8" fontId="0" fillId="2" borderId="8" xfId="0" applyNumberFormat="1" applyFill="1" applyBorder="1" applyAlignment="1">
      <alignment wrapText="1"/>
    </xf>
    <xf numFmtId="8" fontId="0" fillId="5" borderId="0" xfId="0" applyNumberFormat="1" applyFill="1" applyBorder="1"/>
    <xf numFmtId="8" fontId="0" fillId="5" borderId="4" xfId="0" applyNumberFormat="1" applyFill="1" applyBorder="1"/>
    <xf numFmtId="0" fontId="0" fillId="5" borderId="7" xfId="0" applyFill="1" applyBorder="1"/>
    <xf numFmtId="44" fontId="0" fillId="5" borderId="8" xfId="0" applyNumberFormat="1" applyFill="1" applyBorder="1" applyAlignment="1">
      <alignment wrapText="1"/>
    </xf>
    <xf numFmtId="44" fontId="0" fillId="5" borderId="0" xfId="0" applyNumberFormat="1" applyFill="1" applyBorder="1" applyAlignment="1">
      <alignment wrapText="1"/>
    </xf>
    <xf numFmtId="44" fontId="0" fillId="5" borderId="15" xfId="0" applyNumberFormat="1" applyFill="1" applyBorder="1" applyAlignment="1">
      <alignment wrapText="1"/>
    </xf>
    <xf numFmtId="44" fontId="0" fillId="5" borderId="0" xfId="0" applyNumberFormat="1" applyFill="1" applyBorder="1"/>
    <xf numFmtId="0" fontId="0" fillId="5" borderId="5" xfId="0" applyFill="1" applyBorder="1"/>
    <xf numFmtId="44" fontId="0" fillId="5" borderId="10" xfId="0" applyNumberFormat="1" applyFill="1" applyBorder="1" applyAlignment="1">
      <alignment wrapText="1"/>
    </xf>
    <xf numFmtId="44" fontId="0" fillId="5" borderId="10" xfId="0" applyNumberFormat="1" applyFill="1" applyBorder="1"/>
    <xf numFmtId="8" fontId="0" fillId="5" borderId="10" xfId="0" applyNumberFormat="1" applyFill="1" applyBorder="1"/>
    <xf numFmtId="8" fontId="0" fillId="5" borderId="6" xfId="0" applyNumberFormat="1" applyFill="1" applyBorder="1"/>
    <xf numFmtId="0" fontId="0" fillId="4" borderId="0" xfId="0" applyFill="1" applyBorder="1" applyAlignment="1">
      <alignment wrapText="1"/>
    </xf>
    <xf numFmtId="44" fontId="0" fillId="4" borderId="0" xfId="0" applyNumberFormat="1" applyFill="1" applyBorder="1"/>
    <xf numFmtId="44" fontId="0" fillId="4" borderId="10" xfId="0" applyNumberFormat="1" applyFill="1" applyBorder="1"/>
    <xf numFmtId="0" fontId="0" fillId="4" borderId="0" xfId="0" applyFill="1" applyBorder="1"/>
    <xf numFmtId="0" fontId="0" fillId="4" borderId="10" xfId="0" applyFill="1" applyBorder="1" applyAlignment="1">
      <alignment wrapText="1"/>
    </xf>
    <xf numFmtId="0" fontId="0" fillId="4" borderId="3" xfId="0" applyFill="1" applyBorder="1"/>
    <xf numFmtId="0" fontId="0" fillId="4" borderId="4" xfId="0" applyFill="1" applyBorder="1"/>
    <xf numFmtId="0" fontId="0" fillId="5" borderId="1" xfId="0" applyFont="1" applyFill="1" applyBorder="1"/>
    <xf numFmtId="44" fontId="0" fillId="5" borderId="2" xfId="0" applyNumberFormat="1" applyFill="1" applyBorder="1" applyAlignment="1">
      <alignment wrapText="1"/>
    </xf>
    <xf numFmtId="10" fontId="0" fillId="5" borderId="4" xfId="0" applyNumberFormat="1" applyFill="1" applyBorder="1" applyAlignment="1">
      <alignment wrapText="1"/>
    </xf>
    <xf numFmtId="0" fontId="0" fillId="5" borderId="6" xfId="0" applyFill="1" applyBorder="1" applyAlignment="1">
      <alignment wrapText="1"/>
    </xf>
    <xf numFmtId="8" fontId="0" fillId="4" borderId="0" xfId="0" applyNumberFormat="1" applyFill="1" applyBorder="1"/>
    <xf numFmtId="8" fontId="0" fillId="4" borderId="10" xfId="0" applyNumberFormat="1" applyFill="1" applyBorder="1"/>
    <xf numFmtId="44" fontId="0" fillId="5" borderId="15" xfId="0" applyNumberFormat="1" applyFill="1" applyBorder="1"/>
    <xf numFmtId="0" fontId="0" fillId="5" borderId="1" xfId="0" applyFill="1" applyBorder="1"/>
    <xf numFmtId="0" fontId="0" fillId="4" borderId="9" xfId="0" applyFill="1" applyBorder="1" applyAlignment="1">
      <alignment wrapText="1"/>
    </xf>
    <xf numFmtId="0" fontId="0" fillId="4" borderId="9" xfId="0" applyFill="1" applyBorder="1"/>
    <xf numFmtId="8" fontId="0" fillId="5" borderId="9" xfId="0" applyNumberFormat="1" applyFill="1" applyBorder="1"/>
    <xf numFmtId="8" fontId="0" fillId="4" borderId="9" xfId="0" applyNumberFormat="1" applyFill="1" applyBorder="1"/>
    <xf numFmtId="8" fontId="0" fillId="4" borderId="2" xfId="0" applyNumberFormat="1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5" xfId="0" applyFill="1" applyBorder="1"/>
    <xf numFmtId="0" fontId="0" fillId="4" borderId="10" xfId="0" applyFill="1" applyBorder="1"/>
    <xf numFmtId="0" fontId="0" fillId="4" borderId="6" xfId="0" applyFill="1" applyBorder="1" applyAlignment="1">
      <alignment wrapText="1"/>
    </xf>
    <xf numFmtId="44" fontId="0" fillId="5" borderId="2" xfId="0" applyNumberFormat="1" applyFill="1" applyBorder="1"/>
    <xf numFmtId="0" fontId="0" fillId="5" borderId="3" xfId="0" applyFill="1" applyBorder="1" applyAlignment="1">
      <alignment wrapText="1"/>
    </xf>
    <xf numFmtId="14" fontId="0" fillId="5" borderId="4" xfId="0" applyNumberFormat="1" applyFill="1" applyBorder="1"/>
    <xf numFmtId="44" fontId="0" fillId="5" borderId="4" xfId="0" applyNumberFormat="1" applyFill="1" applyBorder="1"/>
    <xf numFmtId="0" fontId="0" fillId="5" borderId="5" xfId="0" applyFill="1" applyBorder="1" applyAlignment="1">
      <alignment wrapText="1"/>
    </xf>
    <xf numFmtId="44" fontId="0" fillId="5" borderId="6" xfId="0" applyNumberFormat="1" applyFill="1" applyBorder="1"/>
    <xf numFmtId="14" fontId="0" fillId="4" borderId="4" xfId="0" applyNumberFormat="1" applyFill="1" applyBorder="1"/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5" borderId="2" xfId="0" applyFill="1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zoomScale="160" zoomScaleNormal="160" workbookViewId="0">
      <selection activeCell="C5" sqref="C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6" t="s">
        <v>1</v>
      </c>
    </row>
    <row r="4" spans="2:5" x14ac:dyDescent="0.25">
      <c r="B4" s="3" t="s">
        <v>5</v>
      </c>
      <c r="C4" s="4">
        <v>44954</v>
      </c>
      <c r="E4" s="2" t="s">
        <v>68</v>
      </c>
    </row>
    <row r="5" spans="2:5" x14ac:dyDescent="0.25">
      <c r="B5" s="5" t="s">
        <v>2</v>
      </c>
      <c r="C5" s="6">
        <f>240000</f>
        <v>240000</v>
      </c>
      <c r="E5" s="2" t="s">
        <v>48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41</v>
      </c>
      <c r="C9" s="10">
        <f>ROUND(-PMT(C14, C15,C5),2)</f>
        <v>1454.39</v>
      </c>
    </row>
    <row r="13" spans="2:5" x14ac:dyDescent="0.25">
      <c r="B13" s="36" t="s">
        <v>6</v>
      </c>
    </row>
    <row r="14" spans="2:5" x14ac:dyDescent="0.25">
      <c r="B14" s="3" t="s">
        <v>7</v>
      </c>
      <c r="C14" s="22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M47"/>
  <sheetViews>
    <sheetView zoomScale="110" zoomScaleNormal="110" workbookViewId="0">
      <pane ySplit="7" topLeftCell="A8" activePane="bottomLeft" state="frozen"/>
      <selection pane="bottomLeft" activeCell="G10" sqref="G10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21" style="11" customWidth="1"/>
    <col min="10" max="10" width="16.85546875" style="11" customWidth="1"/>
    <col min="11" max="13" width="16.85546875" customWidth="1"/>
  </cols>
  <sheetData>
    <row r="1" spans="1:13" ht="15" customHeight="1" x14ac:dyDescent="0.25"/>
    <row r="2" spans="1:13" ht="15.75" thickBot="1" x14ac:dyDescent="0.3">
      <c r="A2" s="53" t="s">
        <v>17</v>
      </c>
      <c r="B2" s="53"/>
      <c r="D2" s="54" t="s">
        <v>25</v>
      </c>
      <c r="E2" s="55"/>
      <c r="F2" s="56"/>
      <c r="G2" s="57" t="s">
        <v>28</v>
      </c>
      <c r="H2" s="58"/>
      <c r="I2" s="59"/>
      <c r="J2" s="49"/>
    </row>
    <row r="3" spans="1:13" ht="45.75" thickBot="1" x14ac:dyDescent="0.3">
      <c r="A3" t="s">
        <v>14</v>
      </c>
      <c r="B3" s="1">
        <v>600</v>
      </c>
      <c r="D3" s="28" t="s">
        <v>23</v>
      </c>
      <c r="E3" s="38" t="s">
        <v>24</v>
      </c>
      <c r="F3" s="43" t="s">
        <v>26</v>
      </c>
      <c r="G3" s="44" t="s">
        <v>29</v>
      </c>
      <c r="H3" s="45" t="s">
        <v>44</v>
      </c>
      <c r="I3" s="48" t="s">
        <v>43</v>
      </c>
      <c r="J3" s="50"/>
    </row>
    <row r="4" spans="1:13" ht="15.75" thickBot="1" x14ac:dyDescent="0.3">
      <c r="A4" t="s">
        <v>18</v>
      </c>
      <c r="B4" s="1">
        <v>3000</v>
      </c>
      <c r="D4" s="17">
        <v>1900</v>
      </c>
      <c r="E4" s="15">
        <f>D4*12</f>
        <v>22800</v>
      </c>
      <c r="F4" s="15">
        <f ca="1">E4-C27</f>
        <v>-3091.4343920756073</v>
      </c>
      <c r="G4" s="46">
        <f>SUM(E9:E20)-Info!$C$8*12</f>
        <v>1195.6099999999969</v>
      </c>
      <c r="H4" s="47">
        <f ca="1">InterestDecreaseThisYear()</f>
        <v>6110.53</v>
      </c>
      <c r="I4" s="37">
        <f ca="1">PaymentsChangeThisYear()</f>
        <v>5</v>
      </c>
    </row>
    <row r="5" spans="1:13" ht="45" x14ac:dyDescent="0.25">
      <c r="A5" s="13" t="s">
        <v>15</v>
      </c>
      <c r="B5" s="1">
        <v>100</v>
      </c>
    </row>
    <row r="6" spans="1:13" x14ac:dyDescent="0.25">
      <c r="B6" s="13"/>
    </row>
    <row r="7" spans="1:13" ht="15.75" thickBot="1" x14ac:dyDescent="0.3"/>
    <row r="8" spans="1:13" ht="45.75" thickBot="1" x14ac:dyDescent="0.3">
      <c r="A8" s="24" t="s">
        <v>9</v>
      </c>
      <c r="B8" s="26" t="s">
        <v>40</v>
      </c>
      <c r="C8" s="25" t="s">
        <v>10</v>
      </c>
      <c r="D8" s="25" t="s">
        <v>11</v>
      </c>
      <c r="E8" s="26" t="s">
        <v>51</v>
      </c>
      <c r="F8" s="26" t="s">
        <v>12</v>
      </c>
      <c r="G8" s="29" t="s">
        <v>13</v>
      </c>
      <c r="H8" s="18" t="s">
        <v>27</v>
      </c>
      <c r="I8" s="26" t="s">
        <v>53</v>
      </c>
      <c r="J8" s="26" t="s">
        <v>52</v>
      </c>
      <c r="K8" s="26" t="s">
        <v>14</v>
      </c>
      <c r="L8" s="26" t="s">
        <v>16</v>
      </c>
      <c r="M8" s="27" t="s">
        <v>15</v>
      </c>
    </row>
    <row r="9" spans="1:13" x14ac:dyDescent="0.25">
      <c r="A9">
        <f ca="1">IF(PreviousSheet()="Info", 1, PreviousSheet("A20")+1)</f>
        <v>1</v>
      </c>
      <c r="B9" s="1">
        <f ca="1">IF(PreviousSheet()="Info",Info!$C$5-D9,PreviousSheet("B20")-D9)</f>
        <v>238570</v>
      </c>
      <c r="C9" s="1">
        <f ca="1">IF(PreviousSheet()="Info", Info!$C$5*Info!$C$14, PreviousSheet("B20")*Info!$C$14)</f>
        <v>1220</v>
      </c>
      <c r="D9" s="1">
        <f ca="1">E9-C9</f>
        <v>1430</v>
      </c>
      <c r="E9" s="1">
        <f>MAX(Info!$C$8,G9-I9)</f>
        <v>2650</v>
      </c>
      <c r="F9" s="1">
        <f>Info!$C$8+I9</f>
        <v>2404.3900000000003</v>
      </c>
      <c r="G9" s="32">
        <v>3600</v>
      </c>
      <c r="H9" s="33"/>
      <c r="I9" s="14">
        <f>J9+K9+L9+M9</f>
        <v>950</v>
      </c>
      <c r="J9" s="14">
        <v>0</v>
      </c>
      <c r="K9" s="1">
        <f t="shared" ref="K9:K20" si="0">$B$3</f>
        <v>600</v>
      </c>
      <c r="L9" s="1">
        <f>$B$4/12</f>
        <v>250</v>
      </c>
      <c r="M9" s="6">
        <f t="shared" ref="M9:M20" si="1">$B$5</f>
        <v>100</v>
      </c>
    </row>
    <row r="10" spans="1:13" x14ac:dyDescent="0.25">
      <c r="A10" s="5">
        <f ca="1">A9+1</f>
        <v>2</v>
      </c>
      <c r="B10" s="1">
        <f ca="1">$B9-$D10</f>
        <v>238328.34083333332</v>
      </c>
      <c r="C10" s="1">
        <f ca="1">B9*Info!$C$14</f>
        <v>1212.7308333333333</v>
      </c>
      <c r="D10" s="1">
        <f t="shared" ref="D10:D20" ca="1" si="2">E10-C10</f>
        <v>241.65916666666681</v>
      </c>
      <c r="E10" s="1">
        <f>MAX(Info!$C$8,G10-I10)</f>
        <v>1454.39</v>
      </c>
      <c r="F10" s="1">
        <f>Info!$C$8+I10</f>
        <v>2404.3900000000003</v>
      </c>
      <c r="G10" s="30"/>
      <c r="H10" s="34"/>
      <c r="I10" s="14">
        <f t="shared" ref="I10:I20" si="3">J10+K10+L10+M10</f>
        <v>950</v>
      </c>
      <c r="J10" s="14">
        <v>0</v>
      </c>
      <c r="K10" s="1">
        <f t="shared" si="0"/>
        <v>600</v>
      </c>
      <c r="L10" s="1">
        <f>L$9</f>
        <v>250</v>
      </c>
      <c r="M10" s="6">
        <f t="shared" si="1"/>
        <v>100</v>
      </c>
    </row>
    <row r="11" spans="1:13" x14ac:dyDescent="0.25">
      <c r="A11" s="5">
        <f t="shared" ref="A11:A20" ca="1" si="4">A10+1</f>
        <v>3</v>
      </c>
      <c r="B11" s="1">
        <f t="shared" ref="B11:B20" ca="1" si="5">$B10-$D11</f>
        <v>238085.45323256945</v>
      </c>
      <c r="C11" s="1">
        <f ca="1">B10*Info!$C$14</f>
        <v>1211.5023992361109</v>
      </c>
      <c r="D11" s="1">
        <f t="shared" ca="1" si="2"/>
        <v>242.88760076388917</v>
      </c>
      <c r="E11" s="1">
        <f>MAX(Info!$C$8,G11-I11)</f>
        <v>1454.39</v>
      </c>
      <c r="F11" s="1">
        <f>Info!$C$8+I11</f>
        <v>2404.3900000000003</v>
      </c>
      <c r="G11" s="30"/>
      <c r="H11" s="34"/>
      <c r="I11" s="14">
        <f t="shared" si="3"/>
        <v>950</v>
      </c>
      <c r="J11" s="14">
        <v>0</v>
      </c>
      <c r="K11" s="1">
        <f t="shared" si="0"/>
        <v>600</v>
      </c>
      <c r="L11" s="1">
        <f t="shared" ref="L11:L20" si="6">L$9</f>
        <v>250</v>
      </c>
      <c r="M11" s="6">
        <f t="shared" si="1"/>
        <v>100</v>
      </c>
    </row>
    <row r="12" spans="1:13" x14ac:dyDescent="0.25">
      <c r="A12" s="5">
        <f t="shared" ca="1" si="4"/>
        <v>4</v>
      </c>
      <c r="B12" s="1">
        <f t="shared" ca="1" si="5"/>
        <v>237841.33095316833</v>
      </c>
      <c r="C12" s="1">
        <f ca="1">B11*Info!$C$14</f>
        <v>1210.2677205988946</v>
      </c>
      <c r="D12" s="1">
        <f t="shared" ca="1" si="2"/>
        <v>244.12227940110552</v>
      </c>
      <c r="E12" s="1">
        <f>MAX(Info!$C$8,G12-I12)</f>
        <v>1454.39</v>
      </c>
      <c r="F12" s="1">
        <f>Info!$C$8+I12</f>
        <v>2404.3900000000003</v>
      </c>
      <c r="G12" s="30"/>
      <c r="H12" s="34"/>
      <c r="I12" s="14">
        <f t="shared" si="3"/>
        <v>950</v>
      </c>
      <c r="J12" s="14">
        <v>0</v>
      </c>
      <c r="K12" s="1">
        <f t="shared" si="0"/>
        <v>600</v>
      </c>
      <c r="L12" s="1">
        <f t="shared" si="6"/>
        <v>250</v>
      </c>
      <c r="M12" s="6">
        <f t="shared" si="1"/>
        <v>100</v>
      </c>
    </row>
    <row r="13" spans="1:13" x14ac:dyDescent="0.25">
      <c r="A13" s="5">
        <f t="shared" ca="1" si="4"/>
        <v>5</v>
      </c>
      <c r="B13" s="1">
        <f t="shared" ca="1" si="5"/>
        <v>237595.96771884695</v>
      </c>
      <c r="C13" s="1">
        <f ca="1">B12*Info!$C$14</f>
        <v>1209.0267656786057</v>
      </c>
      <c r="D13" s="1">
        <f t="shared" ca="1" si="2"/>
        <v>245.36323432139443</v>
      </c>
      <c r="E13" s="1">
        <f>MAX(Info!$C$8,G13-I13)</f>
        <v>1454.39</v>
      </c>
      <c r="F13" s="1">
        <f>Info!$C$8+I13</f>
        <v>2404.3900000000003</v>
      </c>
      <c r="G13" s="30"/>
      <c r="H13" s="34"/>
      <c r="I13" s="14">
        <f t="shared" si="3"/>
        <v>950</v>
      </c>
      <c r="J13" s="14">
        <v>0</v>
      </c>
      <c r="K13" s="1">
        <f t="shared" si="0"/>
        <v>600</v>
      </c>
      <c r="L13" s="1">
        <f t="shared" si="6"/>
        <v>250</v>
      </c>
      <c r="M13" s="6">
        <f t="shared" si="1"/>
        <v>100</v>
      </c>
    </row>
    <row r="14" spans="1:13" x14ac:dyDescent="0.25">
      <c r="A14" s="5">
        <f t="shared" ca="1" si="4"/>
        <v>6</v>
      </c>
      <c r="B14" s="1">
        <f t="shared" ca="1" si="5"/>
        <v>237349.35722141777</v>
      </c>
      <c r="C14" s="1">
        <f ca="1">B13*Info!$C$14</f>
        <v>1207.7795025708053</v>
      </c>
      <c r="D14" s="1">
        <f t="shared" ca="1" si="2"/>
        <v>246.61049742919477</v>
      </c>
      <c r="E14" s="1">
        <f>MAX(Info!$C$8,G14-I14)</f>
        <v>1454.39</v>
      </c>
      <c r="F14" s="1">
        <f>Info!$C$8+I14</f>
        <v>2404.3900000000003</v>
      </c>
      <c r="G14" s="30"/>
      <c r="H14" s="34"/>
      <c r="I14" s="14">
        <f t="shared" si="3"/>
        <v>950</v>
      </c>
      <c r="J14" s="14">
        <v>0</v>
      </c>
      <c r="K14" s="1">
        <f t="shared" si="0"/>
        <v>600</v>
      </c>
      <c r="L14" s="1">
        <f t="shared" si="6"/>
        <v>250</v>
      </c>
      <c r="M14" s="6">
        <f t="shared" si="1"/>
        <v>100</v>
      </c>
    </row>
    <row r="15" spans="1:13" x14ac:dyDescent="0.25">
      <c r="A15" s="5">
        <f t="shared" ca="1" si="4"/>
        <v>7</v>
      </c>
      <c r="B15" s="1">
        <f t="shared" ca="1" si="5"/>
        <v>237101.49312062663</v>
      </c>
      <c r="C15" s="1">
        <f ca="1">B14*Info!$C$14</f>
        <v>1206.5258992088736</v>
      </c>
      <c r="D15" s="1">
        <f ca="1">E15-C15</f>
        <v>247.86410079112648</v>
      </c>
      <c r="E15" s="1">
        <f>MAX(Info!$C$8,G15-I15)</f>
        <v>1454.39</v>
      </c>
      <c r="F15" s="1">
        <f>Info!$C$8+I15</f>
        <v>2404.3900000000003</v>
      </c>
      <c r="G15" s="30"/>
      <c r="H15" s="34"/>
      <c r="I15" s="14">
        <f t="shared" si="3"/>
        <v>950</v>
      </c>
      <c r="J15" s="14">
        <v>0</v>
      </c>
      <c r="K15" s="1">
        <f t="shared" si="0"/>
        <v>600</v>
      </c>
      <c r="L15" s="1">
        <f t="shared" si="6"/>
        <v>250</v>
      </c>
      <c r="M15" s="6">
        <f t="shared" si="1"/>
        <v>100</v>
      </c>
    </row>
    <row r="16" spans="1:13" ht="15" customHeight="1" x14ac:dyDescent="0.25">
      <c r="A16" s="5">
        <f t="shared" ca="1" si="4"/>
        <v>8</v>
      </c>
      <c r="B16" s="1">
        <f t="shared" ca="1" si="5"/>
        <v>236852.36904398981</v>
      </c>
      <c r="C16" s="1">
        <f ca="1">B15*Info!$C$14</f>
        <v>1205.2659233631853</v>
      </c>
      <c r="D16" s="1">
        <f t="shared" ca="1" si="2"/>
        <v>249.12407663681483</v>
      </c>
      <c r="E16" s="1">
        <f>MAX(Info!$C$8,G16-I16)</f>
        <v>1454.39</v>
      </c>
      <c r="F16" s="1">
        <f>Info!$C$8+I16</f>
        <v>2404.3900000000003</v>
      </c>
      <c r="G16" s="30"/>
      <c r="H16" s="34"/>
      <c r="I16" s="14">
        <f t="shared" si="3"/>
        <v>950</v>
      </c>
      <c r="J16" s="14">
        <v>0</v>
      </c>
      <c r="K16" s="1">
        <f t="shared" si="0"/>
        <v>600</v>
      </c>
      <c r="L16" s="1">
        <f t="shared" si="6"/>
        <v>250</v>
      </c>
      <c r="M16" s="6">
        <f t="shared" si="1"/>
        <v>100</v>
      </c>
    </row>
    <row r="17" spans="1:13" x14ac:dyDescent="0.25">
      <c r="A17" s="5">
        <f t="shared" ca="1" si="4"/>
        <v>9</v>
      </c>
      <c r="B17" s="1">
        <f t="shared" ca="1" si="5"/>
        <v>236601.97858663008</v>
      </c>
      <c r="C17" s="1">
        <f ca="1">B16*Info!$C$14</f>
        <v>1203.9995426402813</v>
      </c>
      <c r="D17" s="1">
        <f t="shared" ca="1" si="2"/>
        <v>250.39045735971877</v>
      </c>
      <c r="E17" s="1">
        <f>MAX(Info!$C$8,G17-I17)</f>
        <v>1454.39</v>
      </c>
      <c r="F17" s="1">
        <f>Info!$C$8+I17</f>
        <v>2404.3900000000003</v>
      </c>
      <c r="G17" s="30"/>
      <c r="H17" s="34"/>
      <c r="I17" s="14">
        <f t="shared" si="3"/>
        <v>950</v>
      </c>
      <c r="J17" s="14">
        <v>0</v>
      </c>
      <c r="K17" s="1">
        <f t="shared" si="0"/>
        <v>600</v>
      </c>
      <c r="L17" s="1">
        <f t="shared" si="6"/>
        <v>250</v>
      </c>
      <c r="M17" s="6">
        <f t="shared" si="1"/>
        <v>100</v>
      </c>
    </row>
    <row r="18" spans="1:13" x14ac:dyDescent="0.25">
      <c r="A18" s="5">
        <f t="shared" ca="1" si="4"/>
        <v>10</v>
      </c>
      <c r="B18" s="1">
        <f t="shared" ca="1" si="5"/>
        <v>236350.31531111212</v>
      </c>
      <c r="C18" s="1">
        <f ca="1">B17*Info!$C$14</f>
        <v>1202.7267244820362</v>
      </c>
      <c r="D18" s="1">
        <f t="shared" ca="1" si="2"/>
        <v>251.66327551796394</v>
      </c>
      <c r="E18" s="1">
        <f>MAX(Info!$C$8,G18-I18)</f>
        <v>1454.39</v>
      </c>
      <c r="F18" s="1">
        <f>Info!$C$8+I18</f>
        <v>2404.3900000000003</v>
      </c>
      <c r="G18" s="30"/>
      <c r="H18" s="34"/>
      <c r="I18" s="14">
        <f t="shared" si="3"/>
        <v>950</v>
      </c>
      <c r="J18" s="14">
        <v>0</v>
      </c>
      <c r="K18" s="1">
        <f t="shared" si="0"/>
        <v>600</v>
      </c>
      <c r="L18" s="1">
        <f t="shared" si="6"/>
        <v>250</v>
      </c>
      <c r="M18" s="6">
        <f t="shared" si="1"/>
        <v>100</v>
      </c>
    </row>
    <row r="19" spans="1:13" x14ac:dyDescent="0.25">
      <c r="A19" s="5">
        <f t="shared" ca="1" si="4"/>
        <v>11</v>
      </c>
      <c r="B19" s="1">
        <f t="shared" ca="1" si="5"/>
        <v>236097.37274727694</v>
      </c>
      <c r="C19" s="1">
        <f ca="1">B18*Info!$C$14</f>
        <v>1201.4474361648199</v>
      </c>
      <c r="D19" s="1">
        <f t="shared" ca="1" si="2"/>
        <v>252.94256383518018</v>
      </c>
      <c r="E19" s="1">
        <f>MAX(Info!$C$8,G19-I19)</f>
        <v>1454.39</v>
      </c>
      <c r="F19" s="1">
        <f>Info!$C$8+I19</f>
        <v>2404.3900000000003</v>
      </c>
      <c r="G19" s="30"/>
      <c r="H19" s="34"/>
      <c r="I19" s="14">
        <f t="shared" si="3"/>
        <v>950</v>
      </c>
      <c r="J19" s="14">
        <v>0</v>
      </c>
      <c r="K19" s="1">
        <f t="shared" si="0"/>
        <v>600</v>
      </c>
      <c r="L19" s="1">
        <f t="shared" si="6"/>
        <v>250</v>
      </c>
      <c r="M19" s="6">
        <f t="shared" si="1"/>
        <v>100</v>
      </c>
    </row>
    <row r="20" spans="1:13" ht="15.75" thickBot="1" x14ac:dyDescent="0.3">
      <c r="A20" s="9">
        <f t="shared" ca="1" si="4"/>
        <v>12</v>
      </c>
      <c r="B20" s="15">
        <f t="shared" ca="1" si="5"/>
        <v>235843.1443920756</v>
      </c>
      <c r="C20" s="15">
        <f ca="1">B19*Info!$C$14</f>
        <v>1200.1616447986578</v>
      </c>
      <c r="D20" s="15">
        <f t="shared" ca="1" si="2"/>
        <v>254.22835520134231</v>
      </c>
      <c r="E20" s="15">
        <f>MAX(Info!$C$8,G20-I20)</f>
        <v>1454.39</v>
      </c>
      <c r="F20" s="15">
        <f>Info!$C$8+I20</f>
        <v>2404.3900000000003</v>
      </c>
      <c r="G20" s="31"/>
      <c r="H20" s="35"/>
      <c r="I20" s="51">
        <f t="shared" si="3"/>
        <v>950</v>
      </c>
      <c r="J20" s="16">
        <v>0</v>
      </c>
      <c r="K20" s="15">
        <f t="shared" si="0"/>
        <v>600</v>
      </c>
      <c r="L20" s="15">
        <f t="shared" si="6"/>
        <v>250</v>
      </c>
      <c r="M20" s="10">
        <f t="shared" si="1"/>
        <v>100</v>
      </c>
    </row>
    <row r="23" spans="1:13" ht="45" customHeight="1" x14ac:dyDescent="0.25">
      <c r="C23" s="39" t="s">
        <v>19</v>
      </c>
      <c r="D23" s="40" t="s">
        <v>20</v>
      </c>
      <c r="E23" s="40" t="s">
        <v>36</v>
      </c>
      <c r="F23" s="40" t="s">
        <v>21</v>
      </c>
      <c r="G23" s="40" t="s">
        <v>46</v>
      </c>
      <c r="H23" s="40"/>
      <c r="I23" s="41" t="s">
        <v>22</v>
      </c>
      <c r="J23" s="50"/>
    </row>
    <row r="24" spans="1:13" x14ac:dyDescent="0.25">
      <c r="C24" s="19">
        <f t="shared" ref="C24:G24" ca="1" si="7">SUM(C9:C20)</f>
        <v>14491.434392075606</v>
      </c>
      <c r="D24" s="20">
        <f t="shared" ca="1" si="7"/>
        <v>4156.8556079243972</v>
      </c>
      <c r="E24" s="20">
        <f>SUM(E9:E20)</f>
        <v>18648.289999999997</v>
      </c>
      <c r="F24" s="20">
        <f t="shared" si="7"/>
        <v>28852.679999999997</v>
      </c>
      <c r="G24" s="20">
        <f t="shared" si="7"/>
        <v>3600</v>
      </c>
      <c r="H24" s="20"/>
      <c r="I24" s="21">
        <f>SUM(I9:I20)</f>
        <v>11400</v>
      </c>
      <c r="J24" s="14"/>
    </row>
    <row r="25" spans="1:13" x14ac:dyDescent="0.25">
      <c r="F25" s="1"/>
    </row>
    <row r="26" spans="1:13" ht="30" x14ac:dyDescent="0.25">
      <c r="C26" s="42" t="s">
        <v>47</v>
      </c>
    </row>
    <row r="27" spans="1:13" x14ac:dyDescent="0.25">
      <c r="C27" s="23">
        <f ca="1">C24+I24</f>
        <v>25891.434392075607</v>
      </c>
    </row>
    <row r="47" spans="1:2" x14ac:dyDescent="0.25">
      <c r="A47" s="2" t="s">
        <v>49</v>
      </c>
      <c r="B47" t="s">
        <v>50</v>
      </c>
    </row>
  </sheetData>
  <mergeCells count="3">
    <mergeCell ref="A2:B2"/>
    <mergeCell ref="D2:F2"/>
    <mergeCell ref="G2:I2"/>
  </mergeCells>
  <conditionalFormatting sqref="A9:M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2:Q37"/>
  <sheetViews>
    <sheetView tabSelected="1" topLeftCell="A9" zoomScale="110" zoomScaleNormal="110" workbookViewId="0">
      <selection activeCell="C23" sqref="C23"/>
    </sheetView>
  </sheetViews>
  <sheetFormatPr defaultRowHeight="15" x14ac:dyDescent="0.25"/>
  <cols>
    <col min="2" max="2" width="37.140625" customWidth="1"/>
    <col min="3" max="3" width="21" customWidth="1"/>
    <col min="4" max="6" width="8.85546875" customWidth="1"/>
    <col min="7" max="7" width="12.85546875" style="11" customWidth="1"/>
    <col min="8" max="8" width="16.85546875" style="11" customWidth="1"/>
    <col min="9" max="16" width="16.85546875" customWidth="1"/>
    <col min="17" max="17" width="29" customWidth="1"/>
    <col min="18" max="18" width="8.85546875" customWidth="1"/>
  </cols>
  <sheetData>
    <row r="2" spans="2:17" x14ac:dyDescent="0.25">
      <c r="H2" s="14"/>
    </row>
    <row r="3" spans="2:17" x14ac:dyDescent="0.25">
      <c r="B3" s="122" t="s">
        <v>33</v>
      </c>
      <c r="C3" s="123"/>
      <c r="F3" s="66" t="s">
        <v>54</v>
      </c>
      <c r="G3" s="67"/>
      <c r="H3" s="67"/>
      <c r="I3" s="67"/>
      <c r="J3" s="67"/>
      <c r="K3" s="67"/>
      <c r="L3" s="67"/>
      <c r="M3" s="67"/>
      <c r="N3" s="67"/>
      <c r="O3" s="67"/>
      <c r="P3" s="67"/>
      <c r="Q3" s="68"/>
    </row>
    <row r="4" spans="2:17" x14ac:dyDescent="0.25">
      <c r="B4" s="101" t="s">
        <v>35</v>
      </c>
      <c r="C4" s="112">
        <f ca="1">INDIRECT("'" &amp; PreviousSheet() &amp; "'!$B$20")</f>
        <v>235843.1443920756</v>
      </c>
      <c r="F4" s="107"/>
      <c r="G4" s="102"/>
      <c r="H4" s="102"/>
      <c r="I4" s="103"/>
      <c r="J4" s="103"/>
      <c r="K4" s="103"/>
      <c r="L4" s="103"/>
      <c r="M4" s="103"/>
      <c r="N4" s="103"/>
      <c r="O4" s="102"/>
      <c r="P4" s="103"/>
      <c r="Q4" s="108"/>
    </row>
    <row r="5" spans="2:17" x14ac:dyDescent="0.25">
      <c r="B5" s="61" t="s">
        <v>37</v>
      </c>
      <c r="C5" s="64">
        <f ca="1">C6+C7</f>
        <v>355</v>
      </c>
      <c r="F5" s="92"/>
      <c r="G5" s="87"/>
      <c r="H5" s="87"/>
      <c r="I5" s="60"/>
      <c r="J5" s="94" t="s">
        <v>58</v>
      </c>
      <c r="K5" s="95">
        <v>300000</v>
      </c>
      <c r="L5" s="90"/>
      <c r="M5" s="90"/>
      <c r="N5" s="90"/>
      <c r="O5" s="90"/>
      <c r="P5" s="90"/>
      <c r="Q5" s="93"/>
    </row>
    <row r="6" spans="2:17" x14ac:dyDescent="0.25">
      <c r="B6" s="61" t="s">
        <v>38</v>
      </c>
      <c r="C6" s="64">
        <f ca="1">INDIRECT("'" &amp; PreviousSheet() &amp; "'!$A$20")</f>
        <v>12</v>
      </c>
      <c r="F6" s="92"/>
      <c r="G6" s="87"/>
      <c r="H6" s="87"/>
      <c r="I6" s="60"/>
      <c r="J6" s="61" t="s">
        <v>0</v>
      </c>
      <c r="K6" s="96">
        <v>6.0999999999999999E-2</v>
      </c>
      <c r="L6" s="60"/>
      <c r="M6" s="62" t="s">
        <v>64</v>
      </c>
      <c r="N6" s="65">
        <f>K6/12</f>
        <v>5.0833333333333329E-3</v>
      </c>
      <c r="O6" s="90"/>
      <c r="P6" s="90"/>
      <c r="Q6" s="93"/>
    </row>
    <row r="7" spans="2:17" x14ac:dyDescent="0.25">
      <c r="B7" s="61" t="s">
        <v>39</v>
      </c>
      <c r="C7" s="64">
        <f ca="1">ROUNDUP(NPER(Info!$C$14, -Info!$C$8, C4),0)</f>
        <v>343</v>
      </c>
      <c r="F7" s="92"/>
      <c r="G7" s="87"/>
      <c r="H7" s="87"/>
      <c r="I7" s="60"/>
      <c r="J7" s="82" t="s">
        <v>63</v>
      </c>
      <c r="K7" s="97">
        <v>30</v>
      </c>
      <c r="L7" s="60"/>
      <c r="M7" s="62" t="s">
        <v>62</v>
      </c>
      <c r="N7" s="63">
        <f>12*K7</f>
        <v>360</v>
      </c>
      <c r="O7" s="90"/>
      <c r="P7" s="90"/>
      <c r="Q7" s="93"/>
    </row>
    <row r="8" spans="2:17" x14ac:dyDescent="0.25">
      <c r="B8" s="113" t="s">
        <v>42</v>
      </c>
      <c r="C8" s="64">
        <f ca="1">PaymentsChange()</f>
        <v>5</v>
      </c>
      <c r="F8" s="109"/>
      <c r="G8" s="91"/>
      <c r="H8" s="91"/>
      <c r="I8" s="110"/>
      <c r="J8" s="110"/>
      <c r="K8" s="91"/>
      <c r="L8" s="91"/>
      <c r="M8" s="91"/>
      <c r="N8" s="91"/>
      <c r="O8" s="91"/>
      <c r="P8" s="91"/>
      <c r="Q8" s="111"/>
    </row>
    <row r="9" spans="2:17" ht="30" customHeight="1" x14ac:dyDescent="0.25">
      <c r="B9" s="92" t="s">
        <v>31</v>
      </c>
      <c r="C9" s="118">
        <f ca="1">EDATE(Info!$C$4, C5)</f>
        <v>55759</v>
      </c>
      <c r="F9" s="69" t="s">
        <v>61</v>
      </c>
      <c r="G9" s="70" t="s">
        <v>23</v>
      </c>
      <c r="H9" s="70" t="s">
        <v>55</v>
      </c>
      <c r="I9" s="71" t="s">
        <v>56</v>
      </c>
      <c r="J9" s="70" t="s">
        <v>57</v>
      </c>
      <c r="K9" s="72" t="s">
        <v>59</v>
      </c>
      <c r="L9" s="72" t="s">
        <v>65</v>
      </c>
      <c r="M9" s="72" t="s">
        <v>67</v>
      </c>
      <c r="N9" s="73" t="s">
        <v>30</v>
      </c>
      <c r="O9" s="73" t="s">
        <v>10</v>
      </c>
      <c r="P9" s="72" t="s">
        <v>60</v>
      </c>
      <c r="Q9" s="74" t="s">
        <v>66</v>
      </c>
    </row>
    <row r="10" spans="2:17" x14ac:dyDescent="0.25">
      <c r="B10" s="61" t="s">
        <v>30</v>
      </c>
      <c r="C10" s="115">
        <f ca="1">CostOfLoanSoFar()+NPER(Info!$C$14, -Info!$C$8, C4)*Info!$C$8</f>
        <v>517467.28894733958</v>
      </c>
      <c r="F10" s="101">
        <v>0</v>
      </c>
      <c r="G10" s="102"/>
      <c r="H10" s="102"/>
      <c r="I10" s="100">
        <v>60000</v>
      </c>
      <c r="J10" s="103"/>
      <c r="K10" s="104">
        <f>-PMT($N$6, $N$7, $K$5-I10)</f>
        <v>1454.3874853090219</v>
      </c>
      <c r="L10" s="105"/>
      <c r="M10" s="105"/>
      <c r="N10" s="104">
        <f>K10*$N$7</f>
        <v>523579.49471124791</v>
      </c>
      <c r="O10" s="104">
        <f>N10-($K$5-I10)</f>
        <v>283579.49471124791</v>
      </c>
      <c r="P10" s="105"/>
      <c r="Q10" s="106"/>
    </row>
    <row r="11" spans="2:17" ht="15" customHeight="1" x14ac:dyDescent="0.25">
      <c r="B11" s="61" t="s">
        <v>32</v>
      </c>
      <c r="C11" s="115">
        <f ca="1">C10-Info!$C$5</f>
        <v>277467.28894733958</v>
      </c>
      <c r="F11" s="77">
        <v>12</v>
      </c>
      <c r="G11" s="78">
        <v>1900</v>
      </c>
      <c r="H11" s="79">
        <f>F11*$G$11</f>
        <v>22800</v>
      </c>
      <c r="I11" s="79">
        <f>I10+(F11*$J$11)</f>
        <v>79200</v>
      </c>
      <c r="J11" s="80">
        <v>1600</v>
      </c>
      <c r="K11" s="75">
        <f>-PMT($N$6, $N$7, $K$5-I11)</f>
        <v>1338.0364864843004</v>
      </c>
      <c r="L11" s="100">
        <v>950</v>
      </c>
      <c r="M11" s="81">
        <f>$L$11*F11</f>
        <v>11400</v>
      </c>
      <c r="N11" s="75">
        <f>K11*$N$7</f>
        <v>481693.13513434818</v>
      </c>
      <c r="O11" s="75">
        <f>N11-($K$5-I11)</f>
        <v>260893.13513434818</v>
      </c>
      <c r="P11" s="75">
        <f>$N$10-N11</f>
        <v>41886.359576899733</v>
      </c>
      <c r="Q11" s="76">
        <f>($L$11*F11)+P11-H11</f>
        <v>30486.359576899733</v>
      </c>
    </row>
    <row r="12" spans="2:17" ht="15" customHeight="1" x14ac:dyDescent="0.25">
      <c r="B12" s="116" t="s">
        <v>45</v>
      </c>
      <c r="C12" s="117">
        <f ca="1">C18-C10</f>
        <v>6110.5296188594075</v>
      </c>
      <c r="F12" s="61">
        <f>F11+6</f>
        <v>18</v>
      </c>
      <c r="G12" s="87"/>
      <c r="H12" s="79">
        <f>H11+$G$11*6</f>
        <v>34200</v>
      </c>
      <c r="I12" s="79">
        <f>I11+6*$J$11</f>
        <v>88800</v>
      </c>
      <c r="J12" s="88"/>
      <c r="K12" s="75">
        <f>-PMT($N$6, $N$7, $K$5-I12)</f>
        <v>1279.8609870719395</v>
      </c>
      <c r="L12" s="98"/>
      <c r="M12" s="81">
        <f>$L$11*F12</f>
        <v>17100</v>
      </c>
      <c r="N12" s="75">
        <f>K12*$N$7</f>
        <v>460749.95534589823</v>
      </c>
      <c r="O12" s="75">
        <f>N12-($K$5-I12)</f>
        <v>249549.95534589823</v>
      </c>
      <c r="P12" s="75">
        <f t="shared" ref="P12:P13" si="0">$N$10-N12</f>
        <v>62829.539365349687</v>
      </c>
      <c r="Q12" s="76">
        <f t="shared" ref="Q12:Q13" si="1">($L$11*F12)+P12-H12</f>
        <v>45729.539365349687</v>
      </c>
    </row>
    <row r="13" spans="2:17" x14ac:dyDescent="0.25">
      <c r="F13" s="82">
        <f>F12+6</f>
        <v>24</v>
      </c>
      <c r="G13" s="91"/>
      <c r="H13" s="83">
        <f>H12+$G$11*6</f>
        <v>45600</v>
      </c>
      <c r="I13" s="83">
        <f>I12+6*$J$11</f>
        <v>98400</v>
      </c>
      <c r="J13" s="89"/>
      <c r="K13" s="85">
        <f>-PMT($N$6, $N$7, $K$5-I13)</f>
        <v>1221.6854876595785</v>
      </c>
      <c r="L13" s="99"/>
      <c r="M13" s="84">
        <f>$L$11*F13</f>
        <v>22800</v>
      </c>
      <c r="N13" s="85">
        <f>K13*$N$7</f>
        <v>439806.77555744827</v>
      </c>
      <c r="O13" s="85">
        <f>N13-($K$5-I13)</f>
        <v>238206.77555744827</v>
      </c>
      <c r="P13" s="85">
        <f t="shared" si="0"/>
        <v>83772.71915379964</v>
      </c>
      <c r="Q13" s="86">
        <f t="shared" si="1"/>
        <v>60972.71915379964</v>
      </c>
    </row>
    <row r="14" spans="2:17" x14ac:dyDescent="0.25">
      <c r="H14" s="14"/>
      <c r="I14" s="14"/>
      <c r="J14" s="1"/>
      <c r="K14" s="52"/>
      <c r="L14" s="52"/>
      <c r="M14" s="52"/>
      <c r="N14" s="52"/>
      <c r="O14" s="52"/>
      <c r="P14" s="52"/>
      <c r="Q14" s="52"/>
    </row>
    <row r="15" spans="2:17" x14ac:dyDescent="0.25">
      <c r="B15" s="119" t="s">
        <v>34</v>
      </c>
      <c r="C15" s="120"/>
      <c r="H15" s="14"/>
      <c r="I15" s="14"/>
      <c r="J15" s="1"/>
      <c r="K15" s="52"/>
      <c r="L15" s="52"/>
      <c r="M15" s="52"/>
      <c r="N15" s="52"/>
      <c r="O15" s="52"/>
      <c r="P15" s="52"/>
      <c r="Q15" s="52"/>
    </row>
    <row r="16" spans="2:17" x14ac:dyDescent="0.25">
      <c r="B16" s="101" t="s">
        <v>37</v>
      </c>
      <c r="C16" s="121">
        <f>Info!$C$15</f>
        <v>360</v>
      </c>
      <c r="H16" s="14"/>
      <c r="I16" s="14"/>
      <c r="J16" s="1"/>
      <c r="K16" s="52"/>
      <c r="L16" s="52"/>
      <c r="M16" s="52"/>
      <c r="N16" s="52"/>
      <c r="O16" s="52"/>
      <c r="P16" s="52"/>
      <c r="Q16" s="52"/>
    </row>
    <row r="17" spans="2:17" x14ac:dyDescent="0.25">
      <c r="B17" s="61" t="s">
        <v>31</v>
      </c>
      <c r="C17" s="114">
        <f>EDATE(Info!$C$4, C16)</f>
        <v>55912</v>
      </c>
      <c r="H17" s="14"/>
      <c r="I17" s="14"/>
      <c r="J17" s="1"/>
      <c r="K17" s="52"/>
      <c r="L17" s="52"/>
      <c r="M17" s="52"/>
      <c r="N17" s="52"/>
      <c r="O17" s="52"/>
      <c r="P17" s="52"/>
      <c r="Q17" s="52"/>
    </row>
    <row r="18" spans="2:17" x14ac:dyDescent="0.25">
      <c r="B18" s="61" t="s">
        <v>30</v>
      </c>
      <c r="C18" s="115">
        <f>NPER(Info!$C$14, -Info!$C$8, Info!$C5)*Info!$C$8</f>
        <v>523577.81856619898</v>
      </c>
      <c r="H18" s="14"/>
      <c r="I18" s="14"/>
      <c r="J18" s="1"/>
      <c r="K18" s="52"/>
      <c r="L18" s="52"/>
      <c r="M18" s="52"/>
      <c r="N18" s="52"/>
      <c r="O18" s="52"/>
      <c r="P18" s="52"/>
      <c r="Q18" s="52"/>
    </row>
    <row r="19" spans="2:17" x14ac:dyDescent="0.25">
      <c r="B19" s="82" t="s">
        <v>32</v>
      </c>
      <c r="C19" s="117">
        <f>C18-Info!$C$5</f>
        <v>283577.81856619898</v>
      </c>
      <c r="H19" s="14"/>
      <c r="I19" s="14"/>
      <c r="J19" s="1"/>
      <c r="K19" s="52"/>
      <c r="L19" s="52"/>
      <c r="M19" s="52"/>
      <c r="N19" s="52"/>
      <c r="O19" s="52"/>
      <c r="P19" s="52"/>
      <c r="Q19" s="52"/>
    </row>
    <row r="20" spans="2:17" x14ac:dyDescent="0.25">
      <c r="H20" s="14"/>
      <c r="I20" s="14"/>
      <c r="J20" s="1"/>
      <c r="K20" s="52"/>
      <c r="L20" s="52"/>
      <c r="M20" s="52"/>
      <c r="N20" s="52"/>
      <c r="O20" s="52"/>
      <c r="P20" s="52"/>
      <c r="Q20" s="52"/>
    </row>
    <row r="21" spans="2:17" x14ac:dyDescent="0.25">
      <c r="H21" s="14"/>
      <c r="I21" s="14"/>
      <c r="J21" s="1"/>
      <c r="K21" s="52"/>
      <c r="L21" s="52"/>
      <c r="M21" s="52"/>
      <c r="N21" s="52"/>
      <c r="O21" s="52"/>
      <c r="P21" s="52"/>
      <c r="Q21" s="52"/>
    </row>
    <row r="22" spans="2:17" x14ac:dyDescent="0.25">
      <c r="H22" s="14"/>
      <c r="I22" s="14"/>
      <c r="J22" s="1"/>
      <c r="K22" s="52"/>
      <c r="L22" s="52"/>
      <c r="M22" s="52"/>
      <c r="N22" s="52"/>
      <c r="O22" s="52"/>
      <c r="P22" s="52"/>
      <c r="Q22" s="52"/>
    </row>
    <row r="23" spans="2:17" x14ac:dyDescent="0.25">
      <c r="B23" s="2" t="s">
        <v>69</v>
      </c>
      <c r="H23" s="14"/>
      <c r="I23" s="14"/>
      <c r="J23" s="1"/>
      <c r="K23" s="52"/>
      <c r="L23" s="52"/>
      <c r="M23" s="52"/>
      <c r="N23" s="52"/>
      <c r="O23" s="52"/>
      <c r="P23" s="52"/>
      <c r="Q23" s="52"/>
    </row>
    <row r="24" spans="2:17" x14ac:dyDescent="0.25">
      <c r="B24" t="s">
        <v>70</v>
      </c>
      <c r="H24" s="14"/>
      <c r="I24" s="14"/>
      <c r="J24" s="1"/>
      <c r="K24" s="52"/>
      <c r="L24" s="52"/>
      <c r="M24" s="52"/>
      <c r="N24" s="52"/>
      <c r="O24" s="52"/>
      <c r="P24" s="52"/>
      <c r="Q24" s="52"/>
    </row>
    <row r="25" spans="2:17" x14ac:dyDescent="0.25">
      <c r="B25" t="s">
        <v>71</v>
      </c>
      <c r="H25"/>
      <c r="I25" s="14"/>
      <c r="J25" s="1"/>
      <c r="K25" s="52"/>
      <c r="L25" s="52"/>
      <c r="M25" s="52"/>
      <c r="N25" s="52"/>
      <c r="O25" s="52"/>
      <c r="P25" s="52"/>
      <c r="Q25" s="52"/>
    </row>
    <row r="26" spans="2:17" x14ac:dyDescent="0.25">
      <c r="B26" t="s">
        <v>72</v>
      </c>
      <c r="H26"/>
      <c r="I26" s="14"/>
      <c r="J26" s="1"/>
      <c r="K26" s="52"/>
      <c r="L26" s="52"/>
      <c r="M26" s="52"/>
      <c r="N26" s="52"/>
      <c r="O26" s="52"/>
      <c r="P26" s="52"/>
      <c r="Q26" s="52"/>
    </row>
    <row r="27" spans="2:17" x14ac:dyDescent="0.25">
      <c r="B27" t="s">
        <v>73</v>
      </c>
      <c r="H27"/>
      <c r="I27" s="14"/>
      <c r="J27" s="1"/>
      <c r="K27" s="52"/>
      <c r="L27" s="52"/>
      <c r="M27" s="52"/>
      <c r="N27" s="52"/>
      <c r="O27" s="52"/>
      <c r="P27" s="52"/>
      <c r="Q27" s="52"/>
    </row>
    <row r="28" spans="2:17" x14ac:dyDescent="0.25">
      <c r="H28"/>
      <c r="I28" s="14"/>
      <c r="J28" s="1"/>
      <c r="K28" s="52"/>
      <c r="L28" s="52"/>
      <c r="M28" s="52"/>
      <c r="N28" s="52"/>
      <c r="O28" s="52"/>
      <c r="P28" s="52"/>
      <c r="Q28" s="52"/>
    </row>
    <row r="29" spans="2:17" x14ac:dyDescent="0.25">
      <c r="H29"/>
      <c r="I29" s="14"/>
      <c r="J29" s="1"/>
      <c r="K29" s="52"/>
      <c r="L29" s="52"/>
      <c r="M29" s="52"/>
      <c r="N29" s="52"/>
      <c r="O29" s="52"/>
      <c r="P29" s="52"/>
      <c r="Q29" s="52"/>
    </row>
    <row r="30" spans="2:17" x14ac:dyDescent="0.25">
      <c r="G30"/>
      <c r="H30"/>
      <c r="I30" s="14"/>
      <c r="J30" s="1"/>
      <c r="K30" s="52"/>
      <c r="L30" s="52"/>
      <c r="M30" s="52"/>
      <c r="N30" s="52"/>
      <c r="O30" s="52"/>
      <c r="P30" s="52"/>
      <c r="Q30" s="52"/>
    </row>
    <row r="31" spans="2:17" x14ac:dyDescent="0.25">
      <c r="B31" s="2" t="s">
        <v>74</v>
      </c>
      <c r="G31"/>
      <c r="H31"/>
      <c r="I31" s="14"/>
      <c r="J31" s="1"/>
      <c r="K31" s="52"/>
      <c r="L31" s="52"/>
      <c r="M31" s="52"/>
      <c r="N31" s="52"/>
      <c r="O31" s="52"/>
      <c r="P31" s="52"/>
      <c r="Q31" s="52"/>
    </row>
    <row r="32" spans="2:17" x14ac:dyDescent="0.25">
      <c r="B32" t="s">
        <v>75</v>
      </c>
      <c r="H32"/>
      <c r="I32" s="14"/>
      <c r="J32" s="1"/>
      <c r="K32" s="52"/>
      <c r="L32" s="52"/>
      <c r="M32" s="52"/>
      <c r="N32" s="52"/>
      <c r="O32" s="52"/>
      <c r="P32" s="52"/>
      <c r="Q32" s="52"/>
    </row>
    <row r="33" spans="8:17" x14ac:dyDescent="0.25">
      <c r="H33"/>
      <c r="I33" s="14"/>
      <c r="J33" s="1"/>
      <c r="K33" s="52"/>
      <c r="L33" s="52"/>
      <c r="M33" s="52"/>
      <c r="N33" s="52"/>
      <c r="O33" s="52"/>
      <c r="P33" s="52"/>
      <c r="Q33" s="52"/>
    </row>
    <row r="34" spans="8:17" x14ac:dyDescent="0.25">
      <c r="H34" s="14"/>
      <c r="I34" s="14"/>
      <c r="J34" s="1"/>
      <c r="K34" s="52"/>
      <c r="L34" s="52"/>
      <c r="M34" s="52"/>
      <c r="N34" s="52"/>
      <c r="O34" s="52"/>
      <c r="P34" s="52"/>
      <c r="Q34" s="52"/>
    </row>
    <row r="35" spans="8:17" x14ac:dyDescent="0.25">
      <c r="H35" s="14"/>
      <c r="I35" s="14"/>
      <c r="J35" s="1"/>
      <c r="K35" s="52"/>
      <c r="L35" s="52"/>
      <c r="M35" s="52"/>
      <c r="N35" s="52"/>
      <c r="O35" s="52"/>
      <c r="P35" s="52"/>
      <c r="Q35" s="52"/>
    </row>
    <row r="36" spans="8:17" x14ac:dyDescent="0.25">
      <c r="H36" s="14"/>
      <c r="I36" s="14"/>
      <c r="J36" s="1"/>
      <c r="K36" s="52"/>
      <c r="L36" s="52"/>
      <c r="M36" s="52"/>
      <c r="N36" s="52"/>
      <c r="O36" s="52"/>
      <c r="P36" s="52"/>
      <c r="Q36" s="52"/>
    </row>
    <row r="37" spans="8:17" x14ac:dyDescent="0.25">
      <c r="H37" s="14"/>
      <c r="I37" s="14"/>
      <c r="J37" s="1"/>
      <c r="K37" s="52"/>
      <c r="L37" s="52"/>
      <c r="M37" s="52"/>
      <c r="N37" s="52"/>
      <c r="O37" s="52"/>
      <c r="P37" s="52"/>
      <c r="Q37" s="52"/>
    </row>
  </sheetData>
  <mergeCells count="3">
    <mergeCell ref="F3:Q3"/>
    <mergeCell ref="B3:C3"/>
    <mergeCell ref="B15:C15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2023-07-02T23:15:49Z</dcterms:modified>
</cp:coreProperties>
</file>