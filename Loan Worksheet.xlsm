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ersonalAcc\Documents\Accounting Workspace\loan_vba_repo\"/>
    </mc:Choice>
  </mc:AlternateContent>
  <xr:revisionPtr revIDLastSave="0" documentId="13_ncr:1_{6D4557EC-C7E0-41E5-92C5-FC02CA8F37B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Info" sheetId="1" r:id="rId1"/>
    <sheet name="Year1" sheetId="2" r:id="rId2"/>
    <sheet name="Analysi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4" i="2" l="1"/>
  <c r="L10" i="2"/>
  <c r="L11" i="2"/>
  <c r="L12" i="2"/>
  <c r="L13" i="2"/>
  <c r="L14" i="2"/>
  <c r="L15" i="2"/>
  <c r="L16" i="2"/>
  <c r="L17" i="2"/>
  <c r="L18" i="2"/>
  <c r="L19" i="2"/>
  <c r="L20" i="2"/>
  <c r="L9" i="2"/>
  <c r="J10" i="2"/>
  <c r="J11" i="2"/>
  <c r="J12" i="2"/>
  <c r="J13" i="2"/>
  <c r="J14" i="2"/>
  <c r="J15" i="2"/>
  <c r="J16" i="2"/>
  <c r="J17" i="2"/>
  <c r="J18" i="2"/>
  <c r="J19" i="2"/>
  <c r="J20" i="2"/>
  <c r="K9" i="2"/>
  <c r="K12" i="2" s="1"/>
  <c r="J9" i="2"/>
  <c r="A9" i="2"/>
  <c r="K19" i="2" l="1"/>
  <c r="I19" i="2" s="1"/>
  <c r="K18" i="2"/>
  <c r="I18" i="2" s="1"/>
  <c r="K17" i="2"/>
  <c r="I17" i="2" s="1"/>
  <c r="I9" i="2"/>
  <c r="K11" i="2"/>
  <c r="I11" i="2"/>
  <c r="K16" i="2"/>
  <c r="I16" i="2" s="1"/>
  <c r="K15" i="2"/>
  <c r="I15" i="2" s="1"/>
  <c r="I12" i="2"/>
  <c r="K14" i="2"/>
  <c r="I14" i="2" s="1"/>
  <c r="K10" i="2"/>
  <c r="I10" i="2" s="1"/>
  <c r="K13" i="2"/>
  <c r="I13" i="2" s="1"/>
  <c r="K20" i="2"/>
  <c r="I20" i="2" s="1"/>
  <c r="C15" i="1"/>
  <c r="C16" i="3" s="1"/>
  <c r="C14" i="1"/>
  <c r="C9" i="2"/>
  <c r="C17" i="3" l="1"/>
  <c r="C9" i="1"/>
  <c r="I24" i="2"/>
  <c r="C8" i="1" l="1"/>
  <c r="F11" i="2" s="1"/>
  <c r="E19" i="2" l="1"/>
  <c r="E14" i="2"/>
  <c r="E10" i="2"/>
  <c r="F18" i="2"/>
  <c r="F13" i="2"/>
  <c r="E12" i="2"/>
  <c r="E16" i="2"/>
  <c r="E13" i="2"/>
  <c r="F12" i="2"/>
  <c r="E18" i="2"/>
  <c r="E15" i="2"/>
  <c r="E9" i="2"/>
  <c r="C18" i="3"/>
  <c r="C19" i="3" s="1"/>
  <c r="F9" i="2"/>
  <c r="F15" i="2"/>
  <c r="F14" i="2"/>
  <c r="F16" i="2"/>
  <c r="F20" i="2"/>
  <c r="E11" i="2"/>
  <c r="F10" i="2"/>
  <c r="F17" i="2"/>
  <c r="F19" i="2"/>
  <c r="E20" i="2"/>
  <c r="E17" i="2"/>
  <c r="A10" i="2"/>
  <c r="A11" i="2" s="1"/>
  <c r="A12" i="2" s="1"/>
  <c r="G4" i="2" l="1"/>
  <c r="F24" i="2"/>
  <c r="E24" i="2"/>
  <c r="A13" i="2"/>
  <c r="A14" i="2" s="1"/>
  <c r="A15" i="2" s="1"/>
  <c r="A16" i="2" s="1"/>
  <c r="A17" i="2" s="1"/>
  <c r="A18" i="2" s="1"/>
  <c r="A19" i="2" s="1"/>
  <c r="A20" i="2" s="1"/>
  <c r="D9" i="2"/>
  <c r="B9" i="2"/>
  <c r="C10" i="2" l="1"/>
  <c r="D10" i="2" l="1"/>
  <c r="B10" i="2" l="1"/>
  <c r="C11" i="2" l="1"/>
  <c r="D11" i="2" l="1"/>
  <c r="B11" i="2" l="1"/>
  <c r="C12" i="2" l="1"/>
  <c r="D12" i="2" l="1"/>
  <c r="B12" i="2" l="1"/>
  <c r="C13" i="2" l="1"/>
  <c r="D13" i="2" l="1"/>
  <c r="B13" i="2" l="1"/>
  <c r="C14" i="2" l="1"/>
  <c r="D14" i="2" l="1"/>
  <c r="B14" i="2" l="1"/>
  <c r="C15" i="2" l="1"/>
  <c r="D15" i="2" l="1"/>
  <c r="B15" i="2" l="1"/>
  <c r="C16" i="2" l="1"/>
  <c r="D16" i="2" l="1"/>
  <c r="B16" i="2" l="1"/>
  <c r="C6" i="3"/>
  <c r="C17" i="2" l="1"/>
  <c r="D17" i="2" l="1"/>
  <c r="B17" i="2" l="1"/>
  <c r="C18" i="2" l="1"/>
  <c r="D18" i="2" l="1"/>
  <c r="B18" i="2" l="1"/>
  <c r="C19" i="2" l="1"/>
  <c r="D19" i="2" l="1"/>
  <c r="B19" i="2" l="1"/>
  <c r="C20" i="2" l="1"/>
  <c r="D20" i="2" l="1"/>
  <c r="C24" i="2"/>
  <c r="C27" i="2" s="1"/>
  <c r="D24" i="2" l="1"/>
  <c r="B20" i="2"/>
  <c r="I4" i="2"/>
  <c r="H4" i="2"/>
  <c r="C4" i="3"/>
  <c r="C7" i="3" l="1"/>
  <c r="C5" i="3" s="1"/>
  <c r="C9" i="3" s="1"/>
  <c r="C8" i="3"/>
  <c r="C10" i="3"/>
  <c r="C12" i="3" l="1"/>
  <c r="C11" i="3"/>
</calcChain>
</file>

<file path=xl/sharedStrings.xml><?xml version="1.0" encoding="utf-8"?>
<sst xmlns="http://schemas.openxmlformats.org/spreadsheetml/2006/main" count="49" uniqueCount="45">
  <si>
    <t>Interest</t>
  </si>
  <si>
    <t>Basic Loan Description</t>
  </si>
  <si>
    <t>Amount</t>
  </si>
  <si>
    <t>Loan Term (Years)</t>
  </si>
  <si>
    <t>Monthly Fixed-rate Payment</t>
  </si>
  <si>
    <t>First Month</t>
  </si>
  <si>
    <t>Document Variables</t>
  </si>
  <si>
    <t>Monthly Interest Rate</t>
  </si>
  <si>
    <t># of installments</t>
  </si>
  <si>
    <t>Installment #</t>
  </si>
  <si>
    <t>Interest Payment</t>
  </si>
  <si>
    <t>Principal Payment</t>
  </si>
  <si>
    <t>Payment Made</t>
  </si>
  <si>
    <t>This Year's Fees</t>
  </si>
  <si>
    <t>Interest Payment Made This Year</t>
  </si>
  <si>
    <t>Principal Payment Made This Year</t>
  </si>
  <si>
    <t>Fees This Year</t>
  </si>
  <si>
    <t>Payment Date</t>
  </si>
  <si>
    <t>Prepayment Analysis</t>
  </si>
  <si>
    <t>Prepayment Made this Year</t>
  </si>
  <si>
    <t>Cost of Loan</t>
  </si>
  <si>
    <t>Pay Off Date</t>
  </si>
  <si>
    <t>Interest Paid</t>
  </si>
  <si>
    <t>Current Projection</t>
  </si>
  <si>
    <t>Full Loan Term (fixed rate payments only)</t>
  </si>
  <si>
    <t>Remaining Principal EOY</t>
  </si>
  <si>
    <t>Total Installments</t>
  </si>
  <si>
    <t>Installments Paid</t>
  </si>
  <si>
    <t>Installments Remaining</t>
  </si>
  <si>
    <t>Principal Remaining</t>
  </si>
  <si>
    <t>Monthly Fixed-rate Payment (Estimate)</t>
  </si>
  <si>
    <t>Installments Ahead</t>
  </si>
  <si>
    <t># Installments Shaved Off By Prepayments</t>
  </si>
  <si>
    <t>Decrease on Loan Interest Made by Prepayments</t>
  </si>
  <si>
    <t xml:space="preserve">Difference From the Original Cost of Loan </t>
  </si>
  <si>
    <t>Fees/mo</t>
  </si>
  <si>
    <t>Min. Payment/mo</t>
  </si>
  <si>
    <t>Min. Payment/yr</t>
  </si>
  <si>
    <t>Loan Payment Made This Year</t>
  </si>
  <si>
    <t>Buying Costs</t>
  </si>
  <si>
    <t>Payment Made For Purchase This Year</t>
  </si>
  <si>
    <t>Unrecoverable Costs This Year</t>
  </si>
  <si>
    <t>Loan Payment This mo</t>
  </si>
  <si>
    <t>Document Version 1.0</t>
  </si>
  <si>
    <t>By Bill Shi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</si>
</sst>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52">
    <xf numFmtId="0" fontId="0" fillId="0" borderId="0" xfId="0"/>
    <xf numFmtId="44" fontId="0" fillId="0" borderId="0" xfId="0" applyNumberFormat="1"/>
    <xf numFmtId="0" fontId="2" fillId="0" borderId="0" xfId="0" applyFont="1"/>
    <xf numFmtId="0" fontId="0" fillId="0" borderId="1" xfId="0" applyBorder="1"/>
    <xf numFmtId="14" fontId="0" fillId="0" borderId="2" xfId="0" applyNumberFormat="1" applyBorder="1"/>
    <xf numFmtId="0" fontId="0" fillId="0" borderId="3" xfId="0" applyBorder="1"/>
    <xf numFmtId="44" fontId="0" fillId="0" borderId="4" xfId="0" applyNumberFormat="1" applyBorder="1"/>
    <xf numFmtId="10" fontId="0" fillId="0" borderId="4" xfId="0" applyNumberFormat="1" applyBorder="1"/>
    <xf numFmtId="0" fontId="0" fillId="0" borderId="4" xfId="0" applyBorder="1"/>
    <xf numFmtId="0" fontId="0" fillId="0" borderId="5" xfId="0" applyBorder="1"/>
    <xf numFmtId="44" fontId="0" fillId="0" borderId="6" xfId="0" applyNumberFormat="1" applyBorder="1"/>
    <xf numFmtId="0" fontId="0" fillId="0" borderId="0" xfId="0" applyAlignment="1">
      <alignment wrapText="1"/>
    </xf>
    <xf numFmtId="0" fontId="0" fillId="0" borderId="6" xfId="0" applyBorder="1"/>
    <xf numFmtId="0" fontId="0" fillId="0" borderId="0" xfId="0" applyAlignment="1">
      <alignment horizontal="left" wrapText="1"/>
    </xf>
    <xf numFmtId="44" fontId="0" fillId="0" borderId="0" xfId="0" applyNumberFormat="1" applyAlignment="1">
      <alignment wrapText="1"/>
    </xf>
    <xf numFmtId="44" fontId="0" fillId="0" borderId="10" xfId="0" applyNumberFormat="1" applyBorder="1"/>
    <xf numFmtId="44" fontId="0" fillId="0" borderId="10" xfId="0" applyNumberFormat="1" applyBorder="1" applyAlignment="1">
      <alignment wrapText="1"/>
    </xf>
    <xf numFmtId="0" fontId="1" fillId="2" borderId="12" xfId="0" applyFont="1" applyFill="1" applyBorder="1" applyAlignment="1">
      <alignment vertical="top"/>
    </xf>
    <xf numFmtId="44" fontId="0" fillId="0" borderId="7" xfId="0" applyNumberFormat="1" applyBorder="1" applyAlignment="1">
      <alignment wrapText="1"/>
    </xf>
    <xf numFmtId="44" fontId="0" fillId="0" borderId="11" xfId="0" applyNumberFormat="1" applyBorder="1" applyAlignment="1">
      <alignment wrapText="1"/>
    </xf>
    <xf numFmtId="44" fontId="0" fillId="0" borderId="8" xfId="0" applyNumberFormat="1" applyBorder="1" applyAlignment="1">
      <alignment wrapText="1"/>
    </xf>
    <xf numFmtId="10" fontId="0" fillId="0" borderId="2" xfId="0" applyNumberFormat="1" applyBorder="1"/>
    <xf numFmtId="44" fontId="0" fillId="0" borderId="15" xfId="0" applyNumberFormat="1" applyBorder="1"/>
    <xf numFmtId="0" fontId="0" fillId="3" borderId="7" xfId="0" applyFill="1" applyBorder="1" applyAlignment="1">
      <alignment vertical="top"/>
    </xf>
    <xf numFmtId="0" fontId="0" fillId="3" borderId="11" xfId="0" applyFill="1" applyBorder="1" applyAlignment="1">
      <alignment vertical="top"/>
    </xf>
    <xf numFmtId="0" fontId="0" fillId="3" borderId="11" xfId="0" applyFill="1" applyBorder="1" applyAlignment="1">
      <alignment vertical="top" wrapText="1"/>
    </xf>
    <xf numFmtId="0" fontId="0" fillId="3" borderId="8" xfId="0" applyFill="1" applyBorder="1" applyAlignment="1">
      <alignment vertical="top" wrapText="1"/>
    </xf>
    <xf numFmtId="0" fontId="1" fillId="2" borderId="16" xfId="0" applyFont="1" applyFill="1" applyBorder="1" applyAlignment="1">
      <alignment vertical="top"/>
    </xf>
    <xf numFmtId="44" fontId="0" fillId="0" borderId="17" xfId="0" applyNumberFormat="1" applyBorder="1"/>
    <xf numFmtId="44" fontId="0" fillId="0" borderId="18" xfId="0" applyNumberFormat="1" applyBorder="1"/>
    <xf numFmtId="44" fontId="0" fillId="0" borderId="19" xfId="0" applyNumberFormat="1" applyBorder="1"/>
    <xf numFmtId="14" fontId="0" fillId="0" borderId="20" xfId="0" applyNumberFormat="1" applyBorder="1"/>
    <xf numFmtId="14" fontId="0" fillId="0" borderId="13" xfId="0" applyNumberFormat="1" applyBorder="1"/>
    <xf numFmtId="14" fontId="0" fillId="0" borderId="14" xfId="0" applyNumberFormat="1" applyBorder="1"/>
    <xf numFmtId="0" fontId="2" fillId="0" borderId="15" xfId="0" applyFont="1" applyBorder="1"/>
    <xf numFmtId="0" fontId="0" fillId="0" borderId="8" xfId="0" applyBorder="1" applyAlignment="1">
      <alignment wrapText="1"/>
    </xf>
    <xf numFmtId="0" fontId="2" fillId="2" borderId="1" xfId="0" applyFont="1" applyFill="1" applyBorder="1" applyAlignment="1">
      <alignment wrapText="1"/>
    </xf>
    <xf numFmtId="0" fontId="2" fillId="2" borderId="9" xfId="0" applyFont="1" applyFill="1" applyBorder="1" applyAlignment="1">
      <alignment wrapText="1"/>
    </xf>
    <xf numFmtId="0" fontId="2" fillId="2" borderId="2" xfId="0" applyFont="1" applyFill="1" applyBorder="1" applyAlignment="1">
      <alignment wrapText="1"/>
    </xf>
    <xf numFmtId="0" fontId="2" fillId="2" borderId="15" xfId="0" applyFont="1" applyFill="1" applyBorder="1" applyAlignment="1">
      <alignment wrapText="1"/>
    </xf>
    <xf numFmtId="14" fontId="0" fillId="0" borderId="0" xfId="0" applyNumberFormat="1"/>
    <xf numFmtId="0" fontId="2" fillId="3" borderId="1" xfId="0" applyFont="1" applyFill="1" applyBorder="1" applyAlignment="1">
      <alignment wrapText="1"/>
    </xf>
    <xf numFmtId="0" fontId="2" fillId="3" borderId="9" xfId="0" applyFont="1" applyFill="1" applyBorder="1" applyAlignment="1">
      <alignment wrapText="1"/>
    </xf>
    <xf numFmtId="44" fontId="0" fillId="0" borderId="7" xfId="0" applyNumberFormat="1" applyBorder="1"/>
    <xf numFmtId="44" fontId="0" fillId="0" borderId="11" xfId="0" applyNumberFormat="1" applyBorder="1"/>
    <xf numFmtId="0" fontId="2" fillId="3" borderId="2" xfId="0" applyFont="1" applyFill="1" applyBorder="1" applyAlignment="1">
      <alignment wrapText="1"/>
    </xf>
    <xf numFmtId="0" fontId="1" fillId="0" borderId="0" xfId="0" applyFont="1"/>
    <xf numFmtId="0" fontId="2" fillId="0" borderId="0" xfId="0" applyFont="1" applyAlignment="1">
      <alignment wrapText="1"/>
    </xf>
    <xf numFmtId="0" fontId="3" fillId="0" borderId="0" xfId="0" applyFont="1" applyAlignment="1">
      <alignment horizontal="left"/>
    </xf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8" xfId="0" applyBorder="1" applyAlignment="1">
      <alignment horizontal="center"/>
    </xf>
  </cellXfs>
  <cellStyles count="1">
    <cellStyle name="Normal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E15"/>
  <sheetViews>
    <sheetView tabSelected="1" workbookViewId="0">
      <selection activeCell="E5" sqref="E4:E5"/>
    </sheetView>
  </sheetViews>
  <sheetFormatPr defaultRowHeight="15" x14ac:dyDescent="0.25"/>
  <cols>
    <col min="2" max="2" width="37.140625" customWidth="1"/>
    <col min="3" max="3" width="21" customWidth="1"/>
    <col min="5" max="5" width="33.140625" customWidth="1"/>
    <col min="6" max="6" width="8.85546875" customWidth="1"/>
  </cols>
  <sheetData>
    <row r="3" spans="2:5" x14ac:dyDescent="0.25">
      <c r="B3" s="34" t="s">
        <v>1</v>
      </c>
    </row>
    <row r="4" spans="2:5" x14ac:dyDescent="0.25">
      <c r="B4" s="3" t="s">
        <v>5</v>
      </c>
      <c r="C4" s="4">
        <v>44954</v>
      </c>
      <c r="E4" s="2" t="s">
        <v>43</v>
      </c>
    </row>
    <row r="5" spans="2:5" x14ac:dyDescent="0.25">
      <c r="B5" s="5" t="s">
        <v>2</v>
      </c>
      <c r="C5" s="6">
        <v>20000</v>
      </c>
      <c r="E5" s="2" t="s">
        <v>44</v>
      </c>
    </row>
    <row r="6" spans="2:5" x14ac:dyDescent="0.25">
      <c r="B6" s="5" t="s">
        <v>0</v>
      </c>
      <c r="C6" s="7">
        <v>6.2899999999999998E-2</v>
      </c>
    </row>
    <row r="7" spans="2:5" x14ac:dyDescent="0.25">
      <c r="B7" s="5" t="s">
        <v>3</v>
      </c>
      <c r="C7" s="8">
        <v>5</v>
      </c>
    </row>
    <row r="8" spans="2:5" x14ac:dyDescent="0.25">
      <c r="B8" s="5" t="s">
        <v>4</v>
      </c>
      <c r="C8" s="6">
        <f>C9</f>
        <v>389.36</v>
      </c>
    </row>
    <row r="9" spans="2:5" x14ac:dyDescent="0.25">
      <c r="B9" s="9" t="s">
        <v>30</v>
      </c>
      <c r="C9" s="10">
        <f>ROUND(-PMT(C14, C15,C5),2)</f>
        <v>389.36</v>
      </c>
    </row>
    <row r="13" spans="2:5" x14ac:dyDescent="0.25">
      <c r="B13" s="34" t="s">
        <v>6</v>
      </c>
    </row>
    <row r="14" spans="2:5" x14ac:dyDescent="0.25">
      <c r="B14" s="3" t="s">
        <v>7</v>
      </c>
      <c r="C14" s="21">
        <f>C6/12</f>
        <v>5.2416666666666662E-3</v>
      </c>
    </row>
    <row r="15" spans="2:5" x14ac:dyDescent="0.25">
      <c r="B15" s="9" t="s">
        <v>8</v>
      </c>
      <c r="C15" s="12">
        <f>12*C7</f>
        <v>60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4BA5F-CCB2-4381-BD76-4E5AD78F4671}">
  <sheetPr codeName="Sheet2"/>
  <dimension ref="A1:L27"/>
  <sheetViews>
    <sheetView workbookViewId="0">
      <pane ySplit="7" topLeftCell="A8" activePane="bottomLeft" state="frozen"/>
      <selection pane="bottomLeft" activeCell="F4" sqref="F4"/>
    </sheetView>
  </sheetViews>
  <sheetFormatPr defaultRowHeight="15" x14ac:dyDescent="0.25"/>
  <cols>
    <col min="1" max="1" width="12.85546875" customWidth="1"/>
    <col min="2" max="5" width="16.85546875" customWidth="1"/>
    <col min="6" max="8" width="21" customWidth="1"/>
    <col min="9" max="9" width="21" style="11" customWidth="1"/>
    <col min="10" max="12" width="16.85546875" customWidth="1"/>
  </cols>
  <sheetData>
    <row r="1" spans="1:12" ht="15" customHeight="1" x14ac:dyDescent="0.25"/>
    <row r="2" spans="1:12" x14ac:dyDescent="0.25">
      <c r="A2" s="48" t="s">
        <v>13</v>
      </c>
      <c r="B2" s="48"/>
      <c r="G2" s="49" t="s">
        <v>18</v>
      </c>
      <c r="H2" s="50"/>
      <c r="I2" s="51"/>
    </row>
    <row r="3" spans="1:12" ht="45" x14ac:dyDescent="0.25">
      <c r="B3" s="1">
        <v>0</v>
      </c>
      <c r="D3" s="46"/>
      <c r="E3" s="2"/>
      <c r="F3" s="47"/>
      <c r="G3" s="41" t="s">
        <v>19</v>
      </c>
      <c r="H3" s="42" t="s">
        <v>33</v>
      </c>
      <c r="I3" s="45" t="s">
        <v>32</v>
      </c>
    </row>
    <row r="4" spans="1:12" x14ac:dyDescent="0.25">
      <c r="B4" s="1">
        <v>0</v>
      </c>
      <c r="D4" s="1"/>
      <c r="E4" s="1"/>
      <c r="F4" s="1"/>
      <c r="G4" s="43">
        <f>SUM(E9:E20)-Info!$C$8*12</f>
        <v>1327.6800000000003</v>
      </c>
      <c r="H4" s="44">
        <f ca="1">InterestDecreaseThisYear()</f>
        <v>412.87</v>
      </c>
      <c r="I4" s="35">
        <f ca="1">PaymentsChangeThisYear()</f>
        <v>4</v>
      </c>
    </row>
    <row r="5" spans="1:12" x14ac:dyDescent="0.25">
      <c r="A5" s="13"/>
      <c r="B5" s="1">
        <v>0</v>
      </c>
    </row>
    <row r="6" spans="1:12" x14ac:dyDescent="0.25">
      <c r="B6" s="13"/>
    </row>
    <row r="7" spans="1:12" ht="15.75" thickBot="1" x14ac:dyDescent="0.3"/>
    <row r="8" spans="1:12" ht="30.75" thickBot="1" x14ac:dyDescent="0.3">
      <c r="A8" s="23" t="s">
        <v>9</v>
      </c>
      <c r="B8" s="25" t="s">
        <v>29</v>
      </c>
      <c r="C8" s="24" t="s">
        <v>10</v>
      </c>
      <c r="D8" s="24" t="s">
        <v>11</v>
      </c>
      <c r="E8" s="25" t="s">
        <v>42</v>
      </c>
      <c r="F8" s="25" t="s">
        <v>36</v>
      </c>
      <c r="G8" s="27" t="s">
        <v>12</v>
      </c>
      <c r="H8" s="17" t="s">
        <v>17</v>
      </c>
      <c r="I8" s="25" t="s">
        <v>35</v>
      </c>
      <c r="J8" s="25"/>
      <c r="K8" s="25"/>
      <c r="L8" s="26"/>
    </row>
    <row r="9" spans="1:12" x14ac:dyDescent="0.25">
      <c r="A9">
        <f ca="1">IF(PreviousSheet()="Info", 1, PreviousSheet("A20")+1)</f>
        <v>1</v>
      </c>
      <c r="B9" s="1">
        <f ca="1">IF(PreviousSheet()="Info",Info!$C$5-D9,PreviousSheet("B20")-D9)</f>
        <v>19604.833333333332</v>
      </c>
      <c r="C9" s="1">
        <f ca="1">IF(PreviousSheet()="Info", Info!$C$5*Info!$C$14, PreviousSheet("B20")*Info!$C$14)</f>
        <v>104.83333333333333</v>
      </c>
      <c r="D9" s="1">
        <f ca="1">E9-C9</f>
        <v>395.16666666666669</v>
      </c>
      <c r="E9" s="1">
        <f>MAX(Info!$C$8,G9-I9)</f>
        <v>500</v>
      </c>
      <c r="F9" s="1">
        <f>Info!$C$8+I9</f>
        <v>389.36</v>
      </c>
      <c r="G9" s="30">
        <v>500</v>
      </c>
      <c r="H9" s="31"/>
      <c r="I9" s="14">
        <f>J9+K9+L9</f>
        <v>0</v>
      </c>
      <c r="J9" s="1">
        <f t="shared" ref="J9:J20" si="0">$B$3</f>
        <v>0</v>
      </c>
      <c r="K9" s="1">
        <f>$B$4/12</f>
        <v>0</v>
      </c>
      <c r="L9" s="6">
        <f t="shared" ref="L9:L20" si="1">$B$5</f>
        <v>0</v>
      </c>
    </row>
    <row r="10" spans="1:12" x14ac:dyDescent="0.25">
      <c r="A10" s="5">
        <f ca="1">A9+1</f>
        <v>2</v>
      </c>
      <c r="B10" s="1">
        <f ca="1">$B9-$D10</f>
        <v>19207.59533472222</v>
      </c>
      <c r="C10" s="1">
        <f ca="1">B9*Info!$C$14</f>
        <v>102.76200138888888</v>
      </c>
      <c r="D10" s="1">
        <f t="shared" ref="D10:D20" ca="1" si="2">E10-C10</f>
        <v>397.23799861111115</v>
      </c>
      <c r="E10" s="1">
        <f>MAX(Info!$C$8,G10-I10)</f>
        <v>500</v>
      </c>
      <c r="F10" s="1">
        <f>Info!$C$8+I10</f>
        <v>389.36</v>
      </c>
      <c r="G10" s="28">
        <v>500</v>
      </c>
      <c r="H10" s="32"/>
      <c r="I10" s="14">
        <f t="shared" ref="I10:I20" si="3">J10+K10+L10</f>
        <v>0</v>
      </c>
      <c r="J10" s="1">
        <f t="shared" si="0"/>
        <v>0</v>
      </c>
      <c r="K10" s="1">
        <f>K$9</f>
        <v>0</v>
      </c>
      <c r="L10" s="6">
        <f t="shared" si="1"/>
        <v>0</v>
      </c>
    </row>
    <row r="11" spans="1:12" x14ac:dyDescent="0.25">
      <c r="A11" s="5">
        <f t="shared" ref="A11:A20" ca="1" si="4">A10+1</f>
        <v>3</v>
      </c>
      <c r="B11" s="1">
        <f t="shared" ref="B11:B20" ca="1" si="5">$B10-$D11</f>
        <v>18808.275146935055</v>
      </c>
      <c r="C11" s="1">
        <f ca="1">B10*Info!$C$14</f>
        <v>100.67981221283563</v>
      </c>
      <c r="D11" s="1">
        <f t="shared" ca="1" si="2"/>
        <v>399.3201877871644</v>
      </c>
      <c r="E11" s="1">
        <f>MAX(Info!$C$8,G11-I11)</f>
        <v>500</v>
      </c>
      <c r="F11" s="1">
        <f>Info!$C$8+I11</f>
        <v>389.36</v>
      </c>
      <c r="G11" s="28">
        <v>500</v>
      </c>
      <c r="H11" s="32"/>
      <c r="I11" s="14">
        <f t="shared" si="3"/>
        <v>0</v>
      </c>
      <c r="J11" s="1">
        <f t="shared" si="0"/>
        <v>0</v>
      </c>
      <c r="K11" s="1">
        <f t="shared" ref="K11:K20" si="6">K$9</f>
        <v>0</v>
      </c>
      <c r="L11" s="6">
        <f t="shared" si="1"/>
        <v>0</v>
      </c>
    </row>
    <row r="12" spans="1:12" x14ac:dyDescent="0.25">
      <c r="A12" s="5">
        <f t="shared" ca="1" si="4"/>
        <v>4</v>
      </c>
      <c r="B12" s="1">
        <f t="shared" ca="1" si="5"/>
        <v>18406.861855830241</v>
      </c>
      <c r="C12" s="1">
        <f ca="1">B11*Info!$C$14</f>
        <v>98.586708895184572</v>
      </c>
      <c r="D12" s="1">
        <f t="shared" ca="1" si="2"/>
        <v>401.41329110481541</v>
      </c>
      <c r="E12" s="1">
        <f>MAX(Info!$C$8,G12-I12)</f>
        <v>500</v>
      </c>
      <c r="F12" s="1">
        <f>Info!$C$8+I12</f>
        <v>389.36</v>
      </c>
      <c r="G12" s="28">
        <v>500</v>
      </c>
      <c r="H12" s="32"/>
      <c r="I12" s="14">
        <f t="shared" si="3"/>
        <v>0</v>
      </c>
      <c r="J12" s="1">
        <f t="shared" si="0"/>
        <v>0</v>
      </c>
      <c r="K12" s="1">
        <f t="shared" si="6"/>
        <v>0</v>
      </c>
      <c r="L12" s="6">
        <f t="shared" si="1"/>
        <v>0</v>
      </c>
    </row>
    <row r="13" spans="1:12" x14ac:dyDescent="0.25">
      <c r="A13" s="5">
        <f t="shared" ca="1" si="4"/>
        <v>5</v>
      </c>
      <c r="B13" s="1">
        <f t="shared" ca="1" si="5"/>
        <v>18003.344490057883</v>
      </c>
      <c r="C13" s="1">
        <f ca="1">B12*Info!$C$14</f>
        <v>96.482634227643501</v>
      </c>
      <c r="D13" s="1">
        <f t="shared" ca="1" si="2"/>
        <v>403.51736577235647</v>
      </c>
      <c r="E13" s="1">
        <f>MAX(Info!$C$8,G13-I13)</f>
        <v>500</v>
      </c>
      <c r="F13" s="1">
        <f>Info!$C$8+I13</f>
        <v>389.36</v>
      </c>
      <c r="G13" s="28">
        <v>500</v>
      </c>
      <c r="H13" s="32"/>
      <c r="I13" s="14">
        <f t="shared" si="3"/>
        <v>0</v>
      </c>
      <c r="J13" s="1">
        <f t="shared" si="0"/>
        <v>0</v>
      </c>
      <c r="K13" s="1">
        <f t="shared" si="6"/>
        <v>0</v>
      </c>
      <c r="L13" s="6">
        <f t="shared" si="1"/>
        <v>0</v>
      </c>
    </row>
    <row r="14" spans="1:12" x14ac:dyDescent="0.25">
      <c r="A14" s="5">
        <f t="shared" ca="1" si="4"/>
        <v>6</v>
      </c>
      <c r="B14" s="1">
        <f t="shared" ca="1" si="5"/>
        <v>17597.712020759936</v>
      </c>
      <c r="C14" s="1">
        <f ca="1">B13*Info!$C$14</f>
        <v>94.367530702053401</v>
      </c>
      <c r="D14" s="1">
        <f t="shared" ca="1" si="2"/>
        <v>405.63246929794661</v>
      </c>
      <c r="E14" s="1">
        <f>MAX(Info!$C$8,G14-I14)</f>
        <v>500</v>
      </c>
      <c r="F14" s="1">
        <f>Info!$C$8+I14</f>
        <v>389.36</v>
      </c>
      <c r="G14" s="28">
        <v>500</v>
      </c>
      <c r="H14" s="32"/>
      <c r="I14" s="14">
        <f t="shared" si="3"/>
        <v>0</v>
      </c>
      <c r="J14" s="1">
        <f t="shared" si="0"/>
        <v>0</v>
      </c>
      <c r="K14" s="1">
        <f t="shared" si="6"/>
        <v>0</v>
      </c>
      <c r="L14" s="6">
        <f t="shared" si="1"/>
        <v>0</v>
      </c>
    </row>
    <row r="15" spans="1:12" x14ac:dyDescent="0.25">
      <c r="A15" s="5">
        <f t="shared" ca="1" si="4"/>
        <v>7</v>
      </c>
      <c r="B15" s="1">
        <f t="shared" ca="1" si="5"/>
        <v>17189.953361268752</v>
      </c>
      <c r="C15" s="1">
        <f ca="1">B14*Info!$C$14</f>
        <v>92.241340508816663</v>
      </c>
      <c r="D15" s="1">
        <f ca="1">E15-C15</f>
        <v>407.75865949118332</v>
      </c>
      <c r="E15" s="1">
        <f>MAX(Info!$C$8,G15-I15)</f>
        <v>500</v>
      </c>
      <c r="F15" s="1">
        <f>Info!$C$8+I15</f>
        <v>389.36</v>
      </c>
      <c r="G15" s="28">
        <v>500</v>
      </c>
      <c r="H15" s="32"/>
      <c r="I15" s="14">
        <f t="shared" si="3"/>
        <v>0</v>
      </c>
      <c r="J15" s="1">
        <f t="shared" si="0"/>
        <v>0</v>
      </c>
      <c r="K15" s="1">
        <f t="shared" si="6"/>
        <v>0</v>
      </c>
      <c r="L15" s="6">
        <f t="shared" si="1"/>
        <v>0</v>
      </c>
    </row>
    <row r="16" spans="1:12" ht="15" customHeight="1" x14ac:dyDescent="0.25">
      <c r="A16" s="5">
        <f t="shared" ca="1" si="4"/>
        <v>8</v>
      </c>
      <c r="B16" s="1">
        <f t="shared" ca="1" si="5"/>
        <v>16780.057366804071</v>
      </c>
      <c r="C16" s="1">
        <f ca="1">B15*Info!$C$14</f>
        <v>90.104005535317029</v>
      </c>
      <c r="D16" s="1">
        <f t="shared" ca="1" si="2"/>
        <v>409.89599446468299</v>
      </c>
      <c r="E16" s="1">
        <f>MAX(Info!$C$8,G16-I16)</f>
        <v>500</v>
      </c>
      <c r="F16" s="1">
        <f>Info!$C$8+I16</f>
        <v>389.36</v>
      </c>
      <c r="G16" s="28">
        <v>500</v>
      </c>
      <c r="H16" s="32"/>
      <c r="I16" s="14">
        <f t="shared" si="3"/>
        <v>0</v>
      </c>
      <c r="J16" s="1">
        <f t="shared" si="0"/>
        <v>0</v>
      </c>
      <c r="K16" s="1">
        <f t="shared" si="6"/>
        <v>0</v>
      </c>
      <c r="L16" s="6">
        <f t="shared" si="1"/>
        <v>0</v>
      </c>
    </row>
    <row r="17" spans="1:12" x14ac:dyDescent="0.25">
      <c r="A17" s="5">
        <f t="shared" ca="1" si="4"/>
        <v>9</v>
      </c>
      <c r="B17" s="1">
        <f t="shared" ca="1" si="5"/>
        <v>16368.012834168401</v>
      </c>
      <c r="C17" s="1">
        <f ca="1">B16*Info!$C$14</f>
        <v>87.955467364331327</v>
      </c>
      <c r="D17" s="1">
        <f t="shared" ca="1" si="2"/>
        <v>412.0445326356687</v>
      </c>
      <c r="E17" s="1">
        <f>MAX(Info!$C$8,G17-I17)</f>
        <v>500</v>
      </c>
      <c r="F17" s="1">
        <f>Info!$C$8+I17</f>
        <v>389.36</v>
      </c>
      <c r="G17" s="28">
        <v>500</v>
      </c>
      <c r="H17" s="32"/>
      <c r="I17" s="14">
        <f t="shared" si="3"/>
        <v>0</v>
      </c>
      <c r="J17" s="1">
        <f t="shared" si="0"/>
        <v>0</v>
      </c>
      <c r="K17" s="1">
        <f t="shared" si="6"/>
        <v>0</v>
      </c>
      <c r="L17" s="6">
        <f t="shared" si="1"/>
        <v>0</v>
      </c>
    </row>
    <row r="18" spans="1:12" x14ac:dyDescent="0.25">
      <c r="A18" s="5">
        <f t="shared" ca="1" si="4"/>
        <v>10</v>
      </c>
      <c r="B18" s="1">
        <f t="shared" ca="1" si="5"/>
        <v>15953.808501440833</v>
      </c>
      <c r="C18" s="1">
        <f ca="1">B17*Info!$C$14</f>
        <v>85.795667272432695</v>
      </c>
      <c r="D18" s="1">
        <f t="shared" ca="1" si="2"/>
        <v>414.20433272756731</v>
      </c>
      <c r="E18" s="1">
        <f>MAX(Info!$C$8,G18-I18)</f>
        <v>500</v>
      </c>
      <c r="F18" s="1">
        <f>Info!$C$8+I18</f>
        <v>389.36</v>
      </c>
      <c r="G18" s="28">
        <v>500</v>
      </c>
      <c r="H18" s="32"/>
      <c r="I18" s="14">
        <f t="shared" si="3"/>
        <v>0</v>
      </c>
      <c r="J18" s="1">
        <f t="shared" si="0"/>
        <v>0</v>
      </c>
      <c r="K18" s="1">
        <f t="shared" si="6"/>
        <v>0</v>
      </c>
      <c r="L18" s="6">
        <f t="shared" si="1"/>
        <v>0</v>
      </c>
    </row>
    <row r="19" spans="1:12" x14ac:dyDescent="0.25">
      <c r="A19" s="5">
        <f t="shared" ca="1" si="4"/>
        <v>11</v>
      </c>
      <c r="B19" s="1">
        <f t="shared" ca="1" si="5"/>
        <v>15537.433047669219</v>
      </c>
      <c r="C19" s="1">
        <f ca="1">B18*Info!$C$14</f>
        <v>83.624546228385697</v>
      </c>
      <c r="D19" s="1">
        <f t="shared" ca="1" si="2"/>
        <v>416.37545377161427</v>
      </c>
      <c r="E19" s="1">
        <f>MAX(Info!$C$8,G19-I19)</f>
        <v>500</v>
      </c>
      <c r="F19" s="1">
        <f>Info!$C$8+I19</f>
        <v>389.36</v>
      </c>
      <c r="G19" s="28">
        <v>500</v>
      </c>
      <c r="H19" s="32"/>
      <c r="I19" s="14">
        <f t="shared" si="3"/>
        <v>0</v>
      </c>
      <c r="J19" s="1">
        <f t="shared" si="0"/>
        <v>0</v>
      </c>
      <c r="K19" s="1">
        <f t="shared" si="6"/>
        <v>0</v>
      </c>
      <c r="L19" s="6">
        <f t="shared" si="1"/>
        <v>0</v>
      </c>
    </row>
    <row r="20" spans="1:12" ht="15.75" thickBot="1" x14ac:dyDescent="0.3">
      <c r="A20" s="9">
        <f t="shared" ca="1" si="4"/>
        <v>12</v>
      </c>
      <c r="B20" s="15">
        <f t="shared" ca="1" si="5"/>
        <v>15118.875092560753</v>
      </c>
      <c r="C20" s="15">
        <f ca="1">B19*Info!$C$14</f>
        <v>81.442044891532817</v>
      </c>
      <c r="D20" s="15">
        <f t="shared" ca="1" si="2"/>
        <v>418.55795510846718</v>
      </c>
      <c r="E20" s="15">
        <f>MAX(Info!$C$8,G20-I20)</f>
        <v>500</v>
      </c>
      <c r="F20" s="15">
        <f>Info!$C$8+I20</f>
        <v>389.36</v>
      </c>
      <c r="G20" s="29">
        <v>500</v>
      </c>
      <c r="H20" s="33"/>
      <c r="I20" s="16">
        <f t="shared" si="3"/>
        <v>0</v>
      </c>
      <c r="J20" s="15">
        <f t="shared" si="0"/>
        <v>0</v>
      </c>
      <c r="K20" s="15">
        <f t="shared" si="6"/>
        <v>0</v>
      </c>
      <c r="L20" s="10">
        <f t="shared" si="1"/>
        <v>0</v>
      </c>
    </row>
    <row r="23" spans="1:12" ht="30" customHeight="1" x14ac:dyDescent="0.25">
      <c r="C23" s="36" t="s">
        <v>14</v>
      </c>
      <c r="D23" s="37" t="s">
        <v>15</v>
      </c>
      <c r="E23" s="37" t="s">
        <v>38</v>
      </c>
      <c r="F23" s="37" t="s">
        <v>37</v>
      </c>
      <c r="G23" s="37" t="s">
        <v>40</v>
      </c>
      <c r="H23" s="37"/>
      <c r="I23" s="38" t="s">
        <v>16</v>
      </c>
    </row>
    <row r="24" spans="1:12" x14ac:dyDescent="0.25">
      <c r="C24" s="18">
        <f t="shared" ref="C24:G24" ca="1" si="7">SUM(C9:C20)</f>
        <v>1118.8750925607553</v>
      </c>
      <c r="D24" s="19">
        <f t="shared" ca="1" si="7"/>
        <v>4881.1249074392454</v>
      </c>
      <c r="E24" s="19">
        <f>SUM(E9:E20)</f>
        <v>6000</v>
      </c>
      <c r="F24" s="19">
        <f t="shared" si="7"/>
        <v>4672.3200000000006</v>
      </c>
      <c r="G24" s="19">
        <f t="shared" si="7"/>
        <v>6000</v>
      </c>
      <c r="H24" s="19"/>
      <c r="I24" s="20">
        <f>SUM(I9:I20)</f>
        <v>0</v>
      </c>
    </row>
    <row r="25" spans="1:12" x14ac:dyDescent="0.25">
      <c r="F25" s="1"/>
    </row>
    <row r="26" spans="1:12" ht="30" x14ac:dyDescent="0.25">
      <c r="C26" s="39" t="s">
        <v>41</v>
      </c>
    </row>
    <row r="27" spans="1:12" x14ac:dyDescent="0.25">
      <c r="C27" s="22">
        <f ca="1">C24+I24</f>
        <v>1118.8750925607553</v>
      </c>
    </row>
  </sheetData>
  <mergeCells count="2">
    <mergeCell ref="A2:B2"/>
    <mergeCell ref="G2:I2"/>
  </mergeCells>
  <conditionalFormatting sqref="A9:L20">
    <cfRule type="expression" dxfId="0" priority="1">
      <formula>MOD(ROW(),2)=0</formula>
    </cfRule>
  </conditionalFormatting>
  <pageMargins left="0.7" right="0.7" top="0.75" bottom="0.75" header="0.3" footer="0.3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6D207-80B5-4B5A-8447-1211F316C50B}">
  <sheetPr codeName="Sheet3"/>
  <dimension ref="B3:F19"/>
  <sheetViews>
    <sheetView workbookViewId="0">
      <selection activeCell="C23" sqref="C23"/>
    </sheetView>
  </sheetViews>
  <sheetFormatPr defaultRowHeight="15" x14ac:dyDescent="0.25"/>
  <cols>
    <col min="2" max="2" width="37.140625" customWidth="1"/>
    <col min="3" max="3" width="21" customWidth="1"/>
    <col min="6" max="6" width="37.140625" customWidth="1"/>
  </cols>
  <sheetData>
    <row r="3" spans="2:6" x14ac:dyDescent="0.25">
      <c r="B3" s="2" t="s">
        <v>23</v>
      </c>
    </row>
    <row r="4" spans="2:6" x14ac:dyDescent="0.25">
      <c r="B4" t="s">
        <v>25</v>
      </c>
      <c r="C4" s="1">
        <f ca="1">INDIRECT("'" &amp; PreviousSheet() &amp; "'!$B$20")</f>
        <v>15118.875092560753</v>
      </c>
      <c r="F4" s="2" t="s">
        <v>39</v>
      </c>
    </row>
    <row r="5" spans="2:6" x14ac:dyDescent="0.25">
      <c r="B5" t="s">
        <v>26</v>
      </c>
      <c r="C5">
        <f ca="1">C6+C7</f>
        <v>56</v>
      </c>
    </row>
    <row r="6" spans="2:6" x14ac:dyDescent="0.25">
      <c r="B6" t="s">
        <v>27</v>
      </c>
      <c r="C6">
        <f ca="1">INDIRECT("'" &amp; PreviousSheet() &amp; "'!$A$20")</f>
        <v>12</v>
      </c>
    </row>
    <row r="7" spans="2:6" x14ac:dyDescent="0.25">
      <c r="B7" t="s">
        <v>28</v>
      </c>
      <c r="C7">
        <f ca="1">ROUNDUP(NPER(Info!$C$14, -Info!$C$8, C4),0)</f>
        <v>44</v>
      </c>
    </row>
    <row r="8" spans="2:6" x14ac:dyDescent="0.25">
      <c r="B8" s="11" t="s">
        <v>31</v>
      </c>
      <c r="C8">
        <f ca="1">PaymentsChange()</f>
        <v>4</v>
      </c>
    </row>
    <row r="9" spans="2:6" x14ac:dyDescent="0.25">
      <c r="B9" t="s">
        <v>21</v>
      </c>
      <c r="C9" s="40">
        <f ca="1">EDATE(Info!$C$4, C5)</f>
        <v>46658</v>
      </c>
    </row>
    <row r="10" spans="2:6" x14ac:dyDescent="0.25">
      <c r="B10" t="s">
        <v>20</v>
      </c>
      <c r="C10" s="1">
        <f ca="1">CostOfLoanSoFar()+NPER(Info!$C$14, -Info!$C$8, C4)*Info!$C$8</f>
        <v>22948.642729430561</v>
      </c>
    </row>
    <row r="11" spans="2:6" ht="15" customHeight="1" x14ac:dyDescent="0.25">
      <c r="B11" t="s">
        <v>22</v>
      </c>
      <c r="C11" s="1">
        <f ca="1">C10-Info!$C$5</f>
        <v>2948.6427294305613</v>
      </c>
      <c r="F11" s="2"/>
    </row>
    <row r="12" spans="2:6" ht="15" customHeight="1" x14ac:dyDescent="0.25">
      <c r="B12" s="11" t="s">
        <v>34</v>
      </c>
      <c r="C12" s="1">
        <f ca="1">C18-C10</f>
        <v>412.86549459179514</v>
      </c>
    </row>
    <row r="15" spans="2:6" x14ac:dyDescent="0.25">
      <c r="B15" s="2" t="s">
        <v>24</v>
      </c>
    </row>
    <row r="16" spans="2:6" x14ac:dyDescent="0.25">
      <c r="B16" t="s">
        <v>26</v>
      </c>
      <c r="C16">
        <f>Info!$C$15</f>
        <v>60</v>
      </c>
    </row>
    <row r="17" spans="2:3" x14ac:dyDescent="0.25">
      <c r="B17" t="s">
        <v>21</v>
      </c>
      <c r="C17" s="40">
        <f>EDATE(Info!$C$4, C16)</f>
        <v>46780</v>
      </c>
    </row>
    <row r="18" spans="2:3" x14ac:dyDescent="0.25">
      <c r="B18" t="s">
        <v>20</v>
      </c>
      <c r="C18" s="1">
        <f>NPER(Info!$C$14, -Info!$C$8, Info!$C5)*Info!$C$8</f>
        <v>23361.508224022356</v>
      </c>
    </row>
    <row r="19" spans="2:3" x14ac:dyDescent="0.25">
      <c r="B19" t="s">
        <v>22</v>
      </c>
      <c r="C19" s="1">
        <f>C18-Info!$C$5</f>
        <v>3361.5082240223564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</vt:lpstr>
      <vt:lpstr>Year1</vt:lpstr>
      <vt:lpstr>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Bill-Personal</dc:creator>
  <cp:lastModifiedBy>Bill-Personal</cp:lastModifiedBy>
  <dcterms:created xsi:type="dcterms:W3CDTF">2015-06-05T18:17:20Z</dcterms:created>
  <dcterms:modified xsi:type="dcterms:W3CDTF">2023-06-30T22:14:35Z</dcterms:modified>
</cp:coreProperties>
</file>