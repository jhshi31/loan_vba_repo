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Documents\loan_vba_repo\"/>
    </mc:Choice>
  </mc:AlternateContent>
  <xr:revisionPtr revIDLastSave="0" documentId="13_ncr:1_{A2937677-7AD6-426A-90AE-99E6E38F9E20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E4" i="2"/>
  <c r="A9" i="2"/>
  <c r="G24" i="2" l="1"/>
  <c r="L10" i="2"/>
  <c r="L11" i="2"/>
  <c r="L12" i="2"/>
  <c r="L13" i="2"/>
  <c r="L14" i="2"/>
  <c r="L15" i="2"/>
  <c r="L16" i="2"/>
  <c r="L17" i="2"/>
  <c r="L18" i="2"/>
  <c r="L19" i="2"/>
  <c r="L20" i="2"/>
  <c r="L9" i="2"/>
  <c r="J10" i="2"/>
  <c r="J11" i="2"/>
  <c r="J12" i="2"/>
  <c r="J13" i="2"/>
  <c r="J14" i="2"/>
  <c r="J15" i="2"/>
  <c r="J16" i="2"/>
  <c r="J17" i="2"/>
  <c r="J18" i="2"/>
  <c r="J19" i="2"/>
  <c r="J20" i="2"/>
  <c r="K9" i="2"/>
  <c r="K12" i="2" s="1"/>
  <c r="J9" i="2"/>
  <c r="K19" i="2" l="1"/>
  <c r="I19" i="2" s="1"/>
  <c r="K18" i="2"/>
  <c r="I18" i="2" s="1"/>
  <c r="K17" i="2"/>
  <c r="I17" i="2" s="1"/>
  <c r="I9" i="2"/>
  <c r="K11" i="2"/>
  <c r="I11" i="2"/>
  <c r="K16" i="2"/>
  <c r="I16" i="2" s="1"/>
  <c r="K15" i="2"/>
  <c r="I15" i="2" s="1"/>
  <c r="I12" i="2"/>
  <c r="K14" i="2"/>
  <c r="I14" i="2" s="1"/>
  <c r="K10" i="2"/>
  <c r="I10" i="2" s="1"/>
  <c r="K13" i="2"/>
  <c r="I13" i="2" s="1"/>
  <c r="K20" i="2"/>
  <c r="I20" i="2" s="1"/>
  <c r="C15" i="1"/>
  <c r="C16" i="3" s="1"/>
  <c r="C14" i="1"/>
  <c r="C9" i="2"/>
  <c r="C17" i="3" l="1"/>
  <c r="C9" i="1"/>
  <c r="I24" i="2"/>
  <c r="C8" i="1" l="1"/>
  <c r="F11" i="2" s="1"/>
  <c r="E19" i="2"/>
  <c r="E14" i="2" l="1"/>
  <c r="E10" i="2"/>
  <c r="F18" i="2"/>
  <c r="F13" i="2"/>
  <c r="E12" i="2"/>
  <c r="E16" i="2"/>
  <c r="E13" i="2"/>
  <c r="F12" i="2"/>
  <c r="E18" i="2"/>
  <c r="E15" i="2"/>
  <c r="E9" i="2"/>
  <c r="C18" i="3"/>
  <c r="C19" i="3" s="1"/>
  <c r="F9" i="2"/>
  <c r="F15" i="2"/>
  <c r="F14" i="2"/>
  <c r="F16" i="2"/>
  <c r="F20" i="2"/>
  <c r="E11" i="2"/>
  <c r="F10" i="2"/>
  <c r="F17" i="2"/>
  <c r="F19" i="2"/>
  <c r="E20" i="2"/>
  <c r="E17" i="2"/>
  <c r="A10" i="2"/>
  <c r="A11" i="2" s="1"/>
  <c r="A12" i="2" s="1"/>
  <c r="G4" i="2" l="1"/>
  <c r="F24" i="2"/>
  <c r="E24" i="2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H4" i="2"/>
  <c r="C11" i="2" l="1"/>
  <c r="D11" i="2" s="1"/>
  <c r="B11" i="2" s="1"/>
  <c r="C12" i="2" l="1"/>
  <c r="D12" i="2" l="1"/>
  <c r="B12" i="2" s="1"/>
  <c r="C13" i="2" s="1"/>
  <c r="D13" i="2" l="1"/>
  <c r="B13" i="2" l="1"/>
  <c r="C14" i="2" l="1"/>
  <c r="D14" i="2" l="1"/>
  <c r="B14" i="2" s="1"/>
  <c r="C15" i="2" s="1"/>
  <c r="D15" i="2" l="1"/>
  <c r="B15" i="2" l="1"/>
  <c r="C16" i="2" l="1"/>
  <c r="D16" i="2" l="1"/>
  <c r="B16" i="2" l="1"/>
  <c r="C17" i="2" l="1"/>
  <c r="D17" i="2" l="1"/>
  <c r="B17" i="2" l="1"/>
  <c r="C18" i="2" l="1"/>
  <c r="D18" i="2" l="1"/>
  <c r="B18" i="2" l="1"/>
  <c r="C6" i="3"/>
  <c r="C19" i="2" l="1"/>
  <c r="D19" i="2" l="1"/>
  <c r="B19" i="2" l="1"/>
  <c r="C20" i="2" l="1"/>
  <c r="D20" i="2" l="1"/>
  <c r="C24" i="2"/>
  <c r="C27" i="2" s="1"/>
  <c r="F4" i="2" s="1"/>
  <c r="D24" i="2" l="1"/>
  <c r="B20" i="2"/>
  <c r="I4" i="2"/>
  <c r="C4" i="3"/>
  <c r="C7" i="3" l="1"/>
  <c r="C5" i="3" s="1"/>
  <c r="C9" i="3" s="1"/>
  <c r="C8" i="3"/>
  <c r="C10" i="3"/>
  <c r="C12" i="3" l="1"/>
  <c r="C11" i="3"/>
</calcChain>
</file>

<file path=xl/sharedStrings.xml><?xml version="1.0" encoding="utf-8"?>
<sst xmlns="http://schemas.openxmlformats.org/spreadsheetml/2006/main" count="63" uniqueCount="57">
  <si>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</si>
  <si>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</si>
  <si>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</si>
  <si>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</si>
  <si>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</si>
  <si>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</si>
  <si>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</si>
  <si>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</si>
  <si>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</si>
  <si>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</si>
  <si>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</si>
  <si>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</si>
  <si>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Min. Payment/mo (equivalent to monthly rent)</t>
  </si>
  <si>
    <t>Payment Made</t>
  </si>
  <si>
    <t>Monthly HOA Fee</t>
  </si>
  <si>
    <t>Home Insurance Preminum</t>
  </si>
  <si>
    <t>Amortized Property Tax</t>
  </si>
  <si>
    <t>Mortgage Payment Made (if not fixed rate amount)</t>
  </si>
  <si>
    <t>This Year's Fees</t>
  </si>
  <si>
    <t>Property Tax</t>
  </si>
  <si>
    <t>Interest Payment Made This Year</t>
  </si>
  <si>
    <t>Principal Payment Made This Year</t>
  </si>
  <si>
    <t>Min. Payment/yr (equivlanet to yearly rent)</t>
  </si>
  <si>
    <t>Unrecoverable Cost This Year</t>
  </si>
  <si>
    <t>Payment Made For Property This Year</t>
  </si>
  <si>
    <t>Fees/mo (HOA+Tax+Preminum)</t>
  </si>
  <si>
    <t>Fees This Year</t>
  </si>
  <si>
    <t>Rent/mo</t>
  </si>
  <si>
    <t>Rent/yr</t>
  </si>
  <si>
    <t>Rent or Buy Analysis</t>
  </si>
  <si>
    <t>$ Amount Lost or Saved/yr When Buying</t>
  </si>
  <si>
    <t>Apprasial Fee</t>
  </si>
  <si>
    <t>Title Insurance</t>
  </si>
  <si>
    <t>Attorney Fees</t>
  </si>
  <si>
    <t>Loan Origination Fees</t>
  </si>
  <si>
    <t>Real Estate Agent Commision 5%-6%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</si>
  <si>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</si>
  <si>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</si>
  <si>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</si>
  <si>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</si>
  <si>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</si>
  <si>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</si>
  <si>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</si>
  <si>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</si>
  <si>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</si>
  <si>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</si>
  <si>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</si>
  <si>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</si>
  <si>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</si>
  <si>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</si>
  <si>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</si>
  <si>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</si>
  <si>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</si>
  <si>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</si>
  <si>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</si>
  <si>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Buying Costs</t>
  </si>
  <si>
    <t>Selling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</si>
</sst>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2" xfId="0" applyFont="1" applyFill="1" applyBorder="1"/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3" borderId="11" xfId="0" applyFont="1" applyFill="1" applyBorder="1"/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14" fontId="0" fillId="0" borderId="0" xfId="0" applyNumberFormat="1"/>
    <xf numFmtId="0" fontId="2" fillId="3" borderId="1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C15"/>
  <sheetViews>
    <sheetView workbookViewId="0">
      <selection activeCell="C6" sqref="C6"/>
    </sheetView>
  </sheetViews>
  <sheetFormatPr defaultRowHeight="15" x14ac:dyDescent="0.25"/>
  <cols>
    <col min="2" max="2" width="37.140625" customWidth="1"/>
    <col min="3" max="3" width="21" customWidth="1"/>
    <col min="6" max="6" width="8.85546875" customWidth="1"/>
  </cols>
  <sheetData>
    <row r="3" spans="2:3" x14ac:dyDescent="0.25">
      <c r="B3" s="36" t="s">
        <v>1</v>
      </c>
    </row>
    <row r="4" spans="2:3" x14ac:dyDescent="0.25">
      <c r="B4" s="3" t="s">
        <v>5</v>
      </c>
      <c r="C4" s="4">
        <v>44954</v>
      </c>
    </row>
    <row r="5" spans="2:3" x14ac:dyDescent="0.25">
      <c r="B5" s="5" t="s">
        <v>2</v>
      </c>
      <c r="C5" s="6">
        <f>240000</f>
        <v>240000</v>
      </c>
    </row>
    <row r="6" spans="2:3" x14ac:dyDescent="0.25">
      <c r="B6" s="5" t="s">
        <v>0</v>
      </c>
      <c r="C6" s="7">
        <v>6.0999999999999999E-2</v>
      </c>
    </row>
    <row r="7" spans="2:3" x14ac:dyDescent="0.25">
      <c r="B7" s="5" t="s">
        <v>3</v>
      </c>
      <c r="C7" s="8">
        <v>30</v>
      </c>
    </row>
    <row r="8" spans="2:3" x14ac:dyDescent="0.25">
      <c r="B8" s="5" t="s">
        <v>4</v>
      </c>
      <c r="C8" s="6">
        <f>C9</f>
        <v>1454.39</v>
      </c>
    </row>
    <row r="9" spans="2:3" x14ac:dyDescent="0.25">
      <c r="B9" s="9" t="s">
        <v>50</v>
      </c>
      <c r="C9" s="10">
        <f>ROUND(-PMT(C14, C15,C5),2)</f>
        <v>1454.39</v>
      </c>
    </row>
    <row r="13" spans="2:3" x14ac:dyDescent="0.25">
      <c r="B13" s="36" t="s">
        <v>6</v>
      </c>
    </row>
    <row r="14" spans="2:3" x14ac:dyDescent="0.25">
      <c r="B14" s="3" t="s">
        <v>7</v>
      </c>
      <c r="C14" s="22">
        <f>C6/12</f>
        <v>5.0833333333333329E-3</v>
      </c>
    </row>
    <row r="15" spans="2:3" x14ac:dyDescent="0.25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L27"/>
  <sheetViews>
    <sheetView workbookViewId="0">
      <pane ySplit="7" topLeftCell="A8" activePane="bottomLeft" state="frozen"/>
      <selection pane="bottomLeft" activeCell="J5" sqref="J5"/>
    </sheetView>
  </sheetViews>
  <sheetFormatPr defaultRowHeight="15" x14ac:dyDescent="0.25"/>
  <cols>
    <col min="1" max="4" width="16.85546875" customWidth="1"/>
    <col min="5" max="6" width="25" customWidth="1"/>
    <col min="7" max="8" width="21" customWidth="1"/>
    <col min="9" max="9" width="21" style="11" customWidth="1"/>
    <col min="10" max="12" width="12.85546875" customWidth="1"/>
  </cols>
  <sheetData>
    <row r="1" spans="1:12" ht="15" customHeight="1" x14ac:dyDescent="0.25"/>
    <row r="2" spans="1:12" ht="15.75" thickBot="1" x14ac:dyDescent="0.3">
      <c r="A2" s="50" t="s">
        <v>18</v>
      </c>
      <c r="B2" s="50"/>
      <c r="D2" s="51" t="s">
        <v>29</v>
      </c>
      <c r="E2" s="52"/>
      <c r="F2" s="53"/>
      <c r="G2" s="54" t="s">
        <v>37</v>
      </c>
      <c r="H2" s="55"/>
      <c r="I2" s="56"/>
    </row>
    <row r="3" spans="1:12" ht="45.75" thickBot="1" x14ac:dyDescent="0.3">
      <c r="A3" t="s">
        <v>14</v>
      </c>
      <c r="B3" s="1">
        <v>600</v>
      </c>
      <c r="D3" s="28" t="s">
        <v>27</v>
      </c>
      <c r="E3" s="38" t="s">
        <v>28</v>
      </c>
      <c r="F3" s="44" t="s">
        <v>30</v>
      </c>
      <c r="G3" s="45" t="s">
        <v>38</v>
      </c>
      <c r="H3" s="46" t="s">
        <v>53</v>
      </c>
      <c r="I3" s="49" t="s">
        <v>52</v>
      </c>
    </row>
    <row r="4" spans="1:12" ht="15.75" thickBot="1" x14ac:dyDescent="0.3">
      <c r="A4" t="s">
        <v>19</v>
      </c>
      <c r="B4" s="1">
        <v>3000</v>
      </c>
      <c r="D4" s="17">
        <v>1900</v>
      </c>
      <c r="E4" s="15">
        <f>D4*12</f>
        <v>22800</v>
      </c>
      <c r="F4" s="15">
        <f ca="1">E4-C27</f>
        <v>-3029.2482655932945</v>
      </c>
      <c r="G4" s="47">
        <f>SUM(E9:E20)-Info!$C$8*12</f>
        <v>2391.2199999999975</v>
      </c>
      <c r="H4" s="48">
        <f ca="1">InterestDecreaseThisYear()</f>
        <v>12003.98</v>
      </c>
      <c r="I4" s="37">
        <f ca="1">PaymentsChangeThisYear()</f>
        <v>9</v>
      </c>
    </row>
    <row r="5" spans="1:12" ht="30" x14ac:dyDescent="0.25">
      <c r="A5" s="13" t="s">
        <v>15</v>
      </c>
      <c r="B5" s="1">
        <v>100</v>
      </c>
    </row>
    <row r="6" spans="1:12" x14ac:dyDescent="0.25">
      <c r="B6" s="13"/>
    </row>
    <row r="7" spans="1:12" ht="15.75" thickBot="1" x14ac:dyDescent="0.3"/>
    <row r="8" spans="1:12" ht="45.75" thickBot="1" x14ac:dyDescent="0.3">
      <c r="A8" s="24" t="s">
        <v>9</v>
      </c>
      <c r="B8" s="26" t="s">
        <v>49</v>
      </c>
      <c r="C8" s="25" t="s">
        <v>10</v>
      </c>
      <c r="D8" s="25" t="s">
        <v>11</v>
      </c>
      <c r="E8" s="26" t="s">
        <v>17</v>
      </c>
      <c r="F8" s="26" t="s">
        <v>12</v>
      </c>
      <c r="G8" s="29" t="s">
        <v>13</v>
      </c>
      <c r="H8" s="18" t="s">
        <v>36</v>
      </c>
      <c r="I8" s="26" t="s">
        <v>25</v>
      </c>
      <c r="J8" s="26" t="s">
        <v>14</v>
      </c>
      <c r="K8" s="26" t="s">
        <v>16</v>
      </c>
      <c r="L8" s="27" t="s">
        <v>15</v>
      </c>
    </row>
    <row r="9" spans="1:12" x14ac:dyDescent="0.25">
      <c r="A9">
        <f ca="1">IF(PreviousSheet()="Info", 1, PreviousSheet("A20")+1)</f>
        <v>1</v>
      </c>
      <c r="B9" s="1">
        <f ca="1">IF(PreviousSheet()="Info",Info!$C$5-D9,PreviousSheet("B20")-D9)</f>
        <v>238570</v>
      </c>
      <c r="C9" s="1">
        <f ca="1">IF(PreviousSheet()="Info", Info!$C$5*Info!$C$14, PreviousSheet("B20")*Info!$C$14)</f>
        <v>1220</v>
      </c>
      <c r="D9" s="1">
        <f ca="1">E9-C9</f>
        <v>1430</v>
      </c>
      <c r="E9" s="1">
        <f>MAX(Info!$C$8,G9-I9)</f>
        <v>2650</v>
      </c>
      <c r="F9" s="1">
        <f>Info!$C$8+I9</f>
        <v>2404.3900000000003</v>
      </c>
      <c r="G9" s="32">
        <v>3600</v>
      </c>
      <c r="H9" s="33"/>
      <c r="I9" s="14">
        <f>J9+K9+L9</f>
        <v>950</v>
      </c>
      <c r="J9" s="1">
        <f t="shared" ref="J9:J20" si="0">$B$3</f>
        <v>600</v>
      </c>
      <c r="K9" s="1">
        <f>$B$4/12</f>
        <v>250</v>
      </c>
      <c r="L9" s="6">
        <f t="shared" ref="L9:L20" si="1">$B$5</f>
        <v>100</v>
      </c>
    </row>
    <row r="10" spans="1:12" x14ac:dyDescent="0.25">
      <c r="A10" s="5">
        <f ca="1">A9+1</f>
        <v>2</v>
      </c>
      <c r="B10" s="1">
        <f ca="1">$B9-$D10</f>
        <v>237132.73083333333</v>
      </c>
      <c r="C10" s="1">
        <f ca="1">B9*Info!$C$14</f>
        <v>1212.7308333333333</v>
      </c>
      <c r="D10" s="1">
        <f t="shared" ref="D10:D20" ca="1" si="2">E10-C10</f>
        <v>1437.2691666666667</v>
      </c>
      <c r="E10" s="1">
        <f>MAX(Info!$C$8,G10-I10)</f>
        <v>2650</v>
      </c>
      <c r="F10" s="1">
        <f>Info!$C$8+I10</f>
        <v>2404.3900000000003</v>
      </c>
      <c r="G10" s="30">
        <v>3600</v>
      </c>
      <c r="H10" s="34"/>
      <c r="I10" s="14">
        <f t="shared" ref="I10:I20" si="3">J10+K10+L10</f>
        <v>950</v>
      </c>
      <c r="J10" s="1">
        <f t="shared" si="0"/>
        <v>600</v>
      </c>
      <c r="K10" s="1">
        <f>K$9</f>
        <v>250</v>
      </c>
      <c r="L10" s="6">
        <f t="shared" si="1"/>
        <v>100</v>
      </c>
    </row>
    <row r="11" spans="1:12" x14ac:dyDescent="0.25">
      <c r="A11" s="5">
        <f t="shared" ref="A11:A20" ca="1" si="4">A10+1</f>
        <v>3</v>
      </c>
      <c r="B11" s="1">
        <f t="shared" ref="B11:B20" ca="1" si="5">$B10-$D11</f>
        <v>236883.76554840279</v>
      </c>
      <c r="C11" s="1">
        <f ca="1">B10*Info!$C$14</f>
        <v>1205.4247150694443</v>
      </c>
      <c r="D11" s="1">
        <f t="shared" ca="1" si="2"/>
        <v>248.96528493055575</v>
      </c>
      <c r="E11" s="1">
        <f>MAX(Info!$C$8,G11-I11)</f>
        <v>1454.39</v>
      </c>
      <c r="F11" s="1">
        <f>Info!$C$8+I11</f>
        <v>2404.3900000000003</v>
      </c>
      <c r="G11" s="30"/>
      <c r="H11" s="34"/>
      <c r="I11" s="14">
        <f t="shared" si="3"/>
        <v>950</v>
      </c>
      <c r="J11" s="1">
        <f t="shared" si="0"/>
        <v>600</v>
      </c>
      <c r="K11" s="1">
        <f t="shared" ref="K11:K20" si="6">K$9</f>
        <v>250</v>
      </c>
      <c r="L11" s="6">
        <f t="shared" si="1"/>
        <v>100</v>
      </c>
    </row>
    <row r="12" spans="1:12" x14ac:dyDescent="0.25">
      <c r="A12" s="5">
        <f t="shared" ca="1" si="4"/>
        <v>4</v>
      </c>
      <c r="B12" s="1">
        <f t="shared" ca="1" si="5"/>
        <v>236633.53468994051</v>
      </c>
      <c r="C12" s="1">
        <f ca="1">B11*Info!$C$14</f>
        <v>1204.159141537714</v>
      </c>
      <c r="D12" s="1">
        <f t="shared" ca="1" si="2"/>
        <v>250.23085846228605</v>
      </c>
      <c r="E12" s="1">
        <f>MAX(Info!$C$8,G12-I12)</f>
        <v>1454.39</v>
      </c>
      <c r="F12" s="1">
        <f>Info!$C$8+I12</f>
        <v>2404.3900000000003</v>
      </c>
      <c r="G12" s="30"/>
      <c r="H12" s="34"/>
      <c r="I12" s="14">
        <f t="shared" si="3"/>
        <v>950</v>
      </c>
      <c r="J12" s="1">
        <f t="shared" si="0"/>
        <v>600</v>
      </c>
      <c r="K12" s="1">
        <f t="shared" si="6"/>
        <v>250</v>
      </c>
      <c r="L12" s="6">
        <f t="shared" si="1"/>
        <v>100</v>
      </c>
    </row>
    <row r="13" spans="1:12" x14ac:dyDescent="0.25">
      <c r="A13" s="5">
        <f t="shared" ca="1" si="4"/>
        <v>5</v>
      </c>
      <c r="B13" s="1">
        <f t="shared" ca="1" si="5"/>
        <v>236382.03182461439</v>
      </c>
      <c r="C13" s="1">
        <f ca="1">B12*Info!$C$14</f>
        <v>1202.8871346738642</v>
      </c>
      <c r="D13" s="1">
        <f t="shared" ca="1" si="2"/>
        <v>251.50286532613586</v>
      </c>
      <c r="E13" s="1">
        <f>MAX(Info!$C$8,G13-I13)</f>
        <v>1454.39</v>
      </c>
      <c r="F13" s="1">
        <f>Info!$C$8+I13</f>
        <v>2404.3900000000003</v>
      </c>
      <c r="G13" s="30"/>
      <c r="H13" s="34"/>
      <c r="I13" s="14">
        <f t="shared" si="3"/>
        <v>950</v>
      </c>
      <c r="J13" s="1">
        <f t="shared" si="0"/>
        <v>600</v>
      </c>
      <c r="K13" s="1">
        <f t="shared" si="6"/>
        <v>250</v>
      </c>
      <c r="L13" s="6">
        <f t="shared" si="1"/>
        <v>100</v>
      </c>
    </row>
    <row r="14" spans="1:12" x14ac:dyDescent="0.25">
      <c r="A14" s="5">
        <f t="shared" ca="1" si="4"/>
        <v>6</v>
      </c>
      <c r="B14" s="1">
        <f t="shared" ca="1" si="5"/>
        <v>236129.2504863895</v>
      </c>
      <c r="C14" s="1">
        <f ca="1">B13*Info!$C$14</f>
        <v>1201.608661775123</v>
      </c>
      <c r="D14" s="1">
        <f t="shared" ca="1" si="2"/>
        <v>252.78133822487712</v>
      </c>
      <c r="E14" s="1">
        <f>MAX(Info!$C$8,G14-I14)</f>
        <v>1454.39</v>
      </c>
      <c r="F14" s="1">
        <f>Info!$C$8+I14</f>
        <v>2404.3900000000003</v>
      </c>
      <c r="G14" s="30"/>
      <c r="H14" s="34"/>
      <c r="I14" s="14">
        <f t="shared" si="3"/>
        <v>950</v>
      </c>
      <c r="J14" s="1">
        <f t="shared" si="0"/>
        <v>600</v>
      </c>
      <c r="K14" s="1">
        <f t="shared" si="6"/>
        <v>250</v>
      </c>
      <c r="L14" s="6">
        <f t="shared" si="1"/>
        <v>100</v>
      </c>
    </row>
    <row r="15" spans="1:12" x14ac:dyDescent="0.25">
      <c r="A15" s="5">
        <f t="shared" ca="1" si="4"/>
        <v>7</v>
      </c>
      <c r="B15" s="1">
        <f t="shared" ca="1" si="5"/>
        <v>235875.18417636197</v>
      </c>
      <c r="C15" s="1">
        <f ca="1">B14*Info!$C$14</f>
        <v>1200.3236899724798</v>
      </c>
      <c r="D15" s="1">
        <f ca="1">E15-C15</f>
        <v>254.06631002752033</v>
      </c>
      <c r="E15" s="1">
        <f>MAX(Info!$C$8,G15-I15)</f>
        <v>1454.39</v>
      </c>
      <c r="F15" s="1">
        <f>Info!$C$8+I15</f>
        <v>2404.3900000000003</v>
      </c>
      <c r="G15" s="30"/>
      <c r="H15" s="34"/>
      <c r="I15" s="14">
        <f t="shared" si="3"/>
        <v>950</v>
      </c>
      <c r="J15" s="1">
        <f t="shared" si="0"/>
        <v>600</v>
      </c>
      <c r="K15" s="1">
        <f t="shared" si="6"/>
        <v>250</v>
      </c>
      <c r="L15" s="6">
        <f t="shared" si="1"/>
        <v>100</v>
      </c>
    </row>
    <row r="16" spans="1:12" ht="15" customHeight="1" x14ac:dyDescent="0.25">
      <c r="A16" s="5">
        <f t="shared" ca="1" si="4"/>
        <v>8</v>
      </c>
      <c r="B16" s="1">
        <f t="shared" ca="1" si="5"/>
        <v>235619.82636259182</v>
      </c>
      <c r="C16" s="1">
        <f ca="1">B15*Info!$C$14</f>
        <v>1199.0321862298399</v>
      </c>
      <c r="D16" s="1">
        <f t="shared" ca="1" si="2"/>
        <v>255.35781377016019</v>
      </c>
      <c r="E16" s="1">
        <f>MAX(Info!$C$8,G16-I16)</f>
        <v>1454.39</v>
      </c>
      <c r="F16" s="1">
        <f>Info!$C$8+I16</f>
        <v>2404.3900000000003</v>
      </c>
      <c r="G16" s="30"/>
      <c r="H16" s="34"/>
      <c r="I16" s="14">
        <f t="shared" si="3"/>
        <v>950</v>
      </c>
      <c r="J16" s="1">
        <f t="shared" si="0"/>
        <v>600</v>
      </c>
      <c r="K16" s="1">
        <f t="shared" si="6"/>
        <v>250</v>
      </c>
      <c r="L16" s="6">
        <f t="shared" si="1"/>
        <v>100</v>
      </c>
    </row>
    <row r="17" spans="1:12" x14ac:dyDescent="0.25">
      <c r="A17" s="5">
        <f t="shared" ca="1" si="4"/>
        <v>9</v>
      </c>
      <c r="B17" s="1">
        <f t="shared" ca="1" si="5"/>
        <v>235363.17047993498</v>
      </c>
      <c r="C17" s="1">
        <f ca="1">B16*Info!$C$14</f>
        <v>1197.7341173431751</v>
      </c>
      <c r="D17" s="1">
        <f t="shared" ca="1" si="2"/>
        <v>256.65588265682504</v>
      </c>
      <c r="E17" s="1">
        <f>MAX(Info!$C$8,G17-I17)</f>
        <v>1454.39</v>
      </c>
      <c r="F17" s="1">
        <f>Info!$C$8+I17</f>
        <v>2404.3900000000003</v>
      </c>
      <c r="G17" s="30"/>
      <c r="H17" s="34"/>
      <c r="I17" s="14">
        <f t="shared" si="3"/>
        <v>950</v>
      </c>
      <c r="J17" s="1">
        <f t="shared" si="0"/>
        <v>600</v>
      </c>
      <c r="K17" s="1">
        <f t="shared" si="6"/>
        <v>250</v>
      </c>
      <c r="L17" s="6">
        <f t="shared" si="1"/>
        <v>100</v>
      </c>
    </row>
    <row r="18" spans="1:12" x14ac:dyDescent="0.25">
      <c r="A18" s="5">
        <f t="shared" ca="1" si="4"/>
        <v>10</v>
      </c>
      <c r="B18" s="1">
        <f t="shared" ca="1" si="5"/>
        <v>235105.20992987466</v>
      </c>
      <c r="C18" s="1">
        <f ca="1">B17*Info!$C$14</f>
        <v>1196.4294499396694</v>
      </c>
      <c r="D18" s="1">
        <f t="shared" ca="1" si="2"/>
        <v>257.96055006033066</v>
      </c>
      <c r="E18" s="1">
        <f>MAX(Info!$C$8,G18-I18)</f>
        <v>1454.39</v>
      </c>
      <c r="F18" s="1">
        <f>Info!$C$8+I18</f>
        <v>2404.3900000000003</v>
      </c>
      <c r="G18" s="30"/>
      <c r="H18" s="34"/>
      <c r="I18" s="14">
        <f t="shared" si="3"/>
        <v>950</v>
      </c>
      <c r="J18" s="1">
        <f t="shared" si="0"/>
        <v>600</v>
      </c>
      <c r="K18" s="1">
        <f t="shared" si="6"/>
        <v>250</v>
      </c>
      <c r="L18" s="6">
        <f t="shared" si="1"/>
        <v>100</v>
      </c>
    </row>
    <row r="19" spans="1:12" x14ac:dyDescent="0.25">
      <c r="A19" s="5">
        <f t="shared" ca="1" si="4"/>
        <v>11</v>
      </c>
      <c r="B19" s="1">
        <f t="shared" ca="1" si="5"/>
        <v>234845.93808035154</v>
      </c>
      <c r="C19" s="1">
        <f ca="1">B18*Info!$C$14</f>
        <v>1195.1181504768629</v>
      </c>
      <c r="D19" s="1">
        <f t="shared" ca="1" si="2"/>
        <v>259.27184952313723</v>
      </c>
      <c r="E19" s="1">
        <f>MAX(Info!$C$8,G19-I19)</f>
        <v>1454.39</v>
      </c>
      <c r="F19" s="1">
        <f>Info!$C$8+I19</f>
        <v>2404.3900000000003</v>
      </c>
      <c r="G19" s="30"/>
      <c r="H19" s="34"/>
      <c r="I19" s="14">
        <f t="shared" si="3"/>
        <v>950</v>
      </c>
      <c r="J19" s="1">
        <f t="shared" si="0"/>
        <v>600</v>
      </c>
      <c r="K19" s="1">
        <f t="shared" si="6"/>
        <v>250</v>
      </c>
      <c r="L19" s="6">
        <f t="shared" si="1"/>
        <v>100</v>
      </c>
    </row>
    <row r="20" spans="1:12" ht="15.75" thickBot="1" x14ac:dyDescent="0.3">
      <c r="A20" s="9">
        <f t="shared" ca="1" si="4"/>
        <v>12</v>
      </c>
      <c r="B20" s="15">
        <f t="shared" ca="1" si="5"/>
        <v>234585.34826559332</v>
      </c>
      <c r="C20" s="15">
        <f ca="1">B19*Info!$C$14</f>
        <v>1193.8001852417869</v>
      </c>
      <c r="D20" s="15">
        <f t="shared" ca="1" si="2"/>
        <v>260.58981475821315</v>
      </c>
      <c r="E20" s="15">
        <f>MAX(Info!$C$8,G20-I20)</f>
        <v>1454.39</v>
      </c>
      <c r="F20" s="15">
        <f>Info!$C$8+I20</f>
        <v>2404.3900000000003</v>
      </c>
      <c r="G20" s="31"/>
      <c r="H20" s="35"/>
      <c r="I20" s="16">
        <f t="shared" si="3"/>
        <v>950</v>
      </c>
      <c r="J20" s="15">
        <f t="shared" si="0"/>
        <v>600</v>
      </c>
      <c r="K20" s="15">
        <f t="shared" si="6"/>
        <v>250</v>
      </c>
      <c r="L20" s="10">
        <f t="shared" si="1"/>
        <v>100</v>
      </c>
    </row>
    <row r="23" spans="1:12" ht="30" customHeight="1" x14ac:dyDescent="0.25">
      <c r="C23" s="39" t="s">
        <v>20</v>
      </c>
      <c r="D23" s="40" t="s">
        <v>21</v>
      </c>
      <c r="E23" s="40" t="s">
        <v>45</v>
      </c>
      <c r="F23" s="40" t="s">
        <v>22</v>
      </c>
      <c r="G23" s="40" t="s">
        <v>24</v>
      </c>
      <c r="H23" s="40"/>
      <c r="I23" s="41" t="s">
        <v>26</v>
      </c>
    </row>
    <row r="24" spans="1:12" x14ac:dyDescent="0.25">
      <c r="C24" s="19">
        <f t="shared" ref="C24:G24" ca="1" si="7">SUM(C9:C20)</f>
        <v>14429.248265593294</v>
      </c>
      <c r="D24" s="20">
        <f t="shared" ca="1" si="7"/>
        <v>5414.6517344067088</v>
      </c>
      <c r="E24" s="20">
        <f>SUM(E9:E20)</f>
        <v>19843.899999999998</v>
      </c>
      <c r="F24" s="20">
        <f t="shared" si="7"/>
        <v>28852.679999999997</v>
      </c>
      <c r="G24" s="20">
        <f t="shared" si="7"/>
        <v>7200</v>
      </c>
      <c r="H24" s="20"/>
      <c r="I24" s="21">
        <f>SUM(I9:I20)</f>
        <v>11400</v>
      </c>
    </row>
    <row r="25" spans="1:12" x14ac:dyDescent="0.25">
      <c r="F25" s="1"/>
    </row>
    <row r="26" spans="1:12" ht="30" x14ac:dyDescent="0.25">
      <c r="C26" s="42" t="s">
        <v>23</v>
      </c>
    </row>
    <row r="27" spans="1:12" x14ac:dyDescent="0.25">
      <c r="C27" s="23">
        <f ca="1">C24+I24</f>
        <v>25829.248265593294</v>
      </c>
    </row>
  </sheetData>
  <mergeCells count="3">
    <mergeCell ref="A2:B2"/>
    <mergeCell ref="D2:F2"/>
    <mergeCell ref="G2:I2"/>
  </mergeCells>
  <conditionalFormatting sqref="A9:L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3:F19"/>
  <sheetViews>
    <sheetView tabSelected="1" workbookViewId="0">
      <selection activeCell="E22" sqref="E22"/>
    </sheetView>
  </sheetViews>
  <sheetFormatPr defaultRowHeight="15" x14ac:dyDescent="0.25"/>
  <cols>
    <col min="2" max="2" width="37.140625" customWidth="1"/>
    <col min="3" max="3" width="21" customWidth="1"/>
    <col min="6" max="6" width="37.140625" customWidth="1"/>
  </cols>
  <sheetData>
    <row r="3" spans="2:6" x14ac:dyDescent="0.25">
      <c r="B3" s="2" t="s">
        <v>42</v>
      </c>
    </row>
    <row r="4" spans="2:6" x14ac:dyDescent="0.25">
      <c r="B4" t="s">
        <v>44</v>
      </c>
      <c r="C4" s="1">
        <f ca="1">INDIRECT("'" &amp; PreviousSheet() &amp; "'!$B$20")</f>
        <v>234585.34826559332</v>
      </c>
      <c r="F4" s="2" t="s">
        <v>55</v>
      </c>
    </row>
    <row r="5" spans="2:6" x14ac:dyDescent="0.25">
      <c r="B5" t="s">
        <v>46</v>
      </c>
      <c r="C5">
        <f ca="1">C6+C7</f>
        <v>351</v>
      </c>
      <c r="F5" t="s">
        <v>31</v>
      </c>
    </row>
    <row r="6" spans="2:6" x14ac:dyDescent="0.25">
      <c r="B6" t="s">
        <v>47</v>
      </c>
      <c r="C6">
        <f ca="1">INDIRECT("'" &amp; PreviousSheet() &amp; "'!$A$20")</f>
        <v>12</v>
      </c>
      <c r="F6" t="s">
        <v>32</v>
      </c>
    </row>
    <row r="7" spans="2:6" x14ac:dyDescent="0.25">
      <c r="B7" t="s">
        <v>48</v>
      </c>
      <c r="C7">
        <f ca="1">ROUNDUP(NPER(Info!$C$14, -Info!$C$8, C4),0)</f>
        <v>339</v>
      </c>
      <c r="F7" t="s">
        <v>33</v>
      </c>
    </row>
    <row r="8" spans="2:6" x14ac:dyDescent="0.25">
      <c r="B8" s="11" t="s">
        <v>51</v>
      </c>
      <c r="C8">
        <f ca="1">PaymentsChange()</f>
        <v>9</v>
      </c>
      <c r="F8" t="s">
        <v>34</v>
      </c>
    </row>
    <row r="9" spans="2:6" x14ac:dyDescent="0.25">
      <c r="B9" t="s">
        <v>40</v>
      </c>
      <c r="C9" s="43">
        <f ca="1">EDATE(Info!$C$4, C5)</f>
        <v>55637</v>
      </c>
    </row>
    <row r="10" spans="2:6" x14ac:dyDescent="0.25">
      <c r="B10" t="s">
        <v>39</v>
      </c>
      <c r="C10" s="1">
        <f ca="1">CostOfLoanSoFar()+NPER(Info!$C$14, -Info!$C$8, C4)*Info!$C$8</f>
        <v>511573.83658555412</v>
      </c>
    </row>
    <row r="11" spans="2:6" ht="15" customHeight="1" x14ac:dyDescent="0.25">
      <c r="B11" t="s">
        <v>41</v>
      </c>
      <c r="C11" s="1">
        <f ca="1">C10-Info!$C$5</f>
        <v>271573.83658555412</v>
      </c>
      <c r="F11" s="2" t="s">
        <v>56</v>
      </c>
    </row>
    <row r="12" spans="2:6" ht="15" customHeight="1" x14ac:dyDescent="0.25">
      <c r="B12" s="11" t="s">
        <v>54</v>
      </c>
      <c r="C12" s="1">
        <f ca="1">C18-C10</f>
        <v>12003.981980644865</v>
      </c>
      <c r="F12" t="s">
        <v>35</v>
      </c>
    </row>
    <row r="15" spans="2:6" x14ac:dyDescent="0.25">
      <c r="B15" s="2" t="s">
        <v>43</v>
      </c>
    </row>
    <row r="16" spans="2:6" x14ac:dyDescent="0.25">
      <c r="B16" t="s">
        <v>46</v>
      </c>
      <c r="C16">
        <f>Info!$C$15</f>
        <v>360</v>
      </c>
    </row>
    <row r="17" spans="2:3" x14ac:dyDescent="0.25">
      <c r="B17" t="s">
        <v>40</v>
      </c>
      <c r="C17" s="43">
        <f>EDATE(Info!$C$4, C16)</f>
        <v>55912</v>
      </c>
    </row>
    <row r="18" spans="2:3" x14ac:dyDescent="0.25">
      <c r="B18" t="s">
        <v>39</v>
      </c>
      <c r="C18" s="1">
        <f>NPER(Info!$C$14, -Info!$C$8, Info!$C5)*Info!$C$8</f>
        <v>523577.81856619898</v>
      </c>
    </row>
    <row r="19" spans="2:3" x14ac:dyDescent="0.25">
      <c r="B19" t="s">
        <v>41</v>
      </c>
      <c r="C19" s="1">
        <f>C18-Info!$C$5</f>
        <v>283577.81856619898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2023-06-30T17:16:16Z</dcterms:modified>
</cp:coreProperties>
</file>