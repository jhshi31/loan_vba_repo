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ersonalAcc\Documents\Accounting Workspace\loan_vba_repo\"/>
    </mc:Choice>
  </mc:AlternateContent>
  <xr:revisionPtr revIDLastSave="0" documentId="13_ncr:1_{779EFB59-8853-433A-AA53-6664BE5E2DFB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Info" sheetId="1" r:id="rId1"/>
    <sheet name="Year1" sheetId="2" r:id="rId2"/>
    <sheet name="Analysis" sheetId="4" r:id="rId3"/>
  </sheets>
  <functionGroups builtInGroupCount="19"/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8" i="4" l="1"/>
  <c r="C16" i="4"/>
  <c r="C17" i="4" s="1"/>
  <c r="M13" i="4"/>
  <c r="F13" i="4"/>
  <c r="M12" i="4"/>
  <c r="I12" i="4"/>
  <c r="I13" i="4" s="1"/>
  <c r="F12" i="4"/>
  <c r="M11" i="4"/>
  <c r="I11" i="4"/>
  <c r="H11" i="4"/>
  <c r="H12" i="4" s="1"/>
  <c r="H13" i="4" s="1"/>
  <c r="N7" i="4"/>
  <c r="K10" i="4" s="1"/>
  <c r="N10" i="4" s="1"/>
  <c r="N6" i="4"/>
  <c r="M10" i="2"/>
  <c r="M11" i="2"/>
  <c r="M12" i="2"/>
  <c r="M13" i="2"/>
  <c r="M14" i="2"/>
  <c r="M15" i="2"/>
  <c r="M16" i="2"/>
  <c r="M17" i="2"/>
  <c r="M18" i="2"/>
  <c r="M19" i="2"/>
  <c r="M20" i="2"/>
  <c r="M9" i="2"/>
  <c r="K13" i="4" l="1"/>
  <c r="N13" i="4" s="1"/>
  <c r="O13" i="4" s="1"/>
  <c r="K11" i="4"/>
  <c r="N11" i="4" s="1"/>
  <c r="O11" i="4" s="1"/>
  <c r="P13" i="4"/>
  <c r="O10" i="4"/>
  <c r="Q13" i="4"/>
  <c r="C19" i="4"/>
  <c r="K12" i="4"/>
  <c r="N12" i="4" s="1"/>
  <c r="O12" i="4" s="1"/>
  <c r="H18" i="2"/>
  <c r="I18" i="2" s="1"/>
  <c r="K24" i="2"/>
  <c r="H10" i="2"/>
  <c r="H11" i="2"/>
  <c r="H12" i="2"/>
  <c r="H13" i="2"/>
  <c r="H14" i="2"/>
  <c r="H15" i="2"/>
  <c r="H16" i="2"/>
  <c r="H17" i="2"/>
  <c r="H19" i="2"/>
  <c r="H20" i="2"/>
  <c r="H9" i="2"/>
  <c r="I9" i="2" s="1"/>
  <c r="C5" i="1"/>
  <c r="A9" i="2"/>
  <c r="P11" i="4" l="1"/>
  <c r="Q11" i="4" s="1"/>
  <c r="P12" i="4"/>
  <c r="Q12" i="4" s="1"/>
  <c r="F14" i="2"/>
  <c r="I14" i="2"/>
  <c r="F13" i="2"/>
  <c r="I13" i="2"/>
  <c r="F10" i="2"/>
  <c r="I10" i="2"/>
  <c r="F17" i="2"/>
  <c r="I17" i="2"/>
  <c r="F18" i="2"/>
  <c r="F12" i="2"/>
  <c r="I12" i="2"/>
  <c r="F19" i="2"/>
  <c r="I19" i="2"/>
  <c r="F16" i="2"/>
  <c r="I16" i="2"/>
  <c r="F20" i="2"/>
  <c r="I20" i="2"/>
  <c r="F11" i="2"/>
  <c r="I11" i="2"/>
  <c r="F15" i="2"/>
  <c r="I15" i="2"/>
  <c r="F9" i="2"/>
  <c r="H24" i="2"/>
  <c r="Q10" i="2"/>
  <c r="Q11" i="2"/>
  <c r="Q12" i="2"/>
  <c r="Q13" i="2"/>
  <c r="Q14" i="2"/>
  <c r="Q15" i="2"/>
  <c r="Q16" i="2"/>
  <c r="Q17" i="2"/>
  <c r="Q18" i="2"/>
  <c r="Q19" i="2"/>
  <c r="Q20" i="2"/>
  <c r="Q9" i="2"/>
  <c r="O10" i="2"/>
  <c r="O11" i="2"/>
  <c r="O12" i="2"/>
  <c r="O13" i="2"/>
  <c r="O14" i="2"/>
  <c r="O15" i="2"/>
  <c r="O16" i="2"/>
  <c r="O17" i="2"/>
  <c r="O18" i="2"/>
  <c r="O19" i="2"/>
  <c r="O20" i="2"/>
  <c r="P9" i="2"/>
  <c r="P12" i="2" s="1"/>
  <c r="O9" i="2"/>
  <c r="H27" i="2" l="1"/>
  <c r="I24" i="2"/>
  <c r="P19" i="2"/>
  <c r="G19" i="2" s="1"/>
  <c r="J19" i="2" s="1"/>
  <c r="P18" i="2"/>
  <c r="G18" i="2" s="1"/>
  <c r="J18" i="2" s="1"/>
  <c r="P17" i="2"/>
  <c r="G17" i="2" s="1"/>
  <c r="J17" i="2" s="1"/>
  <c r="G9" i="2"/>
  <c r="J9" i="2" s="1"/>
  <c r="P11" i="2"/>
  <c r="G11" i="2" s="1"/>
  <c r="J11" i="2" s="1"/>
  <c r="P16" i="2"/>
  <c r="G16" i="2" s="1"/>
  <c r="J16" i="2" s="1"/>
  <c r="P15" i="2"/>
  <c r="G15" i="2" s="1"/>
  <c r="J15" i="2" s="1"/>
  <c r="G12" i="2"/>
  <c r="J12" i="2" s="1"/>
  <c r="P14" i="2"/>
  <c r="G14" i="2" s="1"/>
  <c r="J14" i="2" s="1"/>
  <c r="P10" i="2"/>
  <c r="G10" i="2" s="1"/>
  <c r="J10" i="2" s="1"/>
  <c r="P13" i="2"/>
  <c r="G13" i="2" s="1"/>
  <c r="J13" i="2" s="1"/>
  <c r="P20" i="2"/>
  <c r="G20" i="2" s="1"/>
  <c r="J20" i="2" s="1"/>
  <c r="C15" i="1"/>
  <c r="C14" i="1"/>
  <c r="C9" i="2"/>
  <c r="E9" i="2" l="1"/>
  <c r="E15" i="2"/>
  <c r="E11" i="2"/>
  <c r="E16" i="2"/>
  <c r="E17" i="2"/>
  <c r="E13" i="2"/>
  <c r="E10" i="2"/>
  <c r="E18" i="2"/>
  <c r="E20" i="2"/>
  <c r="E14" i="2"/>
  <c r="E19" i="2"/>
  <c r="E12" i="2"/>
  <c r="C9" i="1"/>
  <c r="M24" i="2"/>
  <c r="J24" i="2" l="1"/>
  <c r="K27" i="2" s="1"/>
  <c r="E24" i="2"/>
  <c r="C8" i="1"/>
  <c r="G24" i="2" l="1"/>
  <c r="A10" i="2"/>
  <c r="A11" i="2" s="1"/>
  <c r="A12" i="2" s="1"/>
  <c r="G4" i="2" l="1"/>
  <c r="A13" i="2"/>
  <c r="A14" i="2" s="1"/>
  <c r="A15" i="2" s="1"/>
  <c r="A16" i="2" s="1"/>
  <c r="A17" i="2" s="1"/>
  <c r="A18" i="2" s="1"/>
  <c r="A19" i="2" s="1"/>
  <c r="A20" i="2" s="1"/>
  <c r="D9" i="2"/>
  <c r="B9" i="2"/>
  <c r="C6" i="4"/>
  <c r="C10" i="2" l="1"/>
  <c r="D10" i="2" l="1"/>
  <c r="B10" i="2" l="1"/>
  <c r="C11" i="2" l="1"/>
  <c r="D11" i="2" l="1"/>
  <c r="B11" i="2" l="1"/>
  <c r="C12" i="2" l="1"/>
  <c r="D12" i="2" l="1"/>
  <c r="B12" i="2" l="1"/>
  <c r="C13" i="2" l="1"/>
  <c r="D13" i="2" l="1"/>
  <c r="B13" i="2" l="1"/>
  <c r="C14" i="2" l="1"/>
  <c r="D14" i="2" l="1"/>
  <c r="B14" i="2" l="1"/>
  <c r="C15" i="2" l="1"/>
  <c r="D15" i="2" l="1"/>
  <c r="B15" i="2" l="1"/>
  <c r="C16" i="2" l="1"/>
  <c r="D16" i="2" l="1"/>
  <c r="B16" i="2" l="1"/>
  <c r="C17" i="2" l="1"/>
  <c r="D17" i="2" l="1"/>
  <c r="B17" i="2" l="1"/>
  <c r="C18" i="2" l="1"/>
  <c r="D18" i="2" l="1"/>
  <c r="B18" i="2" l="1"/>
  <c r="C19" i="2" l="1"/>
  <c r="D19" i="2" l="1"/>
  <c r="B19" i="2" l="1"/>
  <c r="C20" i="2" l="1"/>
  <c r="D20" i="2" l="1"/>
  <c r="C24" i="2"/>
  <c r="C27" i="2" s="1"/>
  <c r="D24" i="2" l="1"/>
  <c r="B20" i="2"/>
  <c r="H4" i="2"/>
  <c r="I4" i="2"/>
  <c r="C4" i="4"/>
  <c r="C7" i="4" l="1"/>
  <c r="C5" i="4" s="1"/>
  <c r="C9" i="4" s="1"/>
  <c r="C8" i="4"/>
  <c r="C10" i="4"/>
  <c r="C11" i="4" l="1"/>
  <c r="C12" i="4"/>
</calcChain>
</file>

<file path=xl/sharedStrings.xml><?xml version="1.0" encoding="utf-8"?>
<sst xmlns="http://schemas.openxmlformats.org/spreadsheetml/2006/main" count="94" uniqueCount="85">
  <si>
    <t>Interest</t>
  </si>
  <si>
    <t>Basic Loan Description</t>
  </si>
  <si>
    <t>Amount</t>
  </si>
  <si>
    <t>Loan Term (Years)</t>
  </si>
  <si>
    <t>Monthly Fixed-rate Payment</t>
  </si>
  <si>
    <t>First Month</t>
  </si>
  <si>
    <t>Document Variables</t>
  </si>
  <si>
    <t>Monthly Interest Rate</t>
  </si>
  <si>
    <t># of installments</t>
  </si>
  <si>
    <t>Installment #</t>
  </si>
  <si>
    <t>Interest Payment</t>
  </si>
  <si>
    <t>Principal Payment</t>
  </si>
  <si>
    <t>Monthly HOA Fee</t>
  </si>
  <si>
    <t>Home Insurance Preminum</t>
  </si>
  <si>
    <t>Amortized Property Tax</t>
  </si>
  <si>
    <t>This Year's Fees</t>
  </si>
  <si>
    <t>Property Tax</t>
  </si>
  <si>
    <t>Interest Payment Made This Year</t>
  </si>
  <si>
    <t>Principal Payment Made This Year</t>
  </si>
  <si>
    <t>Fees This Year</t>
  </si>
  <si>
    <t>Apprasial Fee</t>
  </si>
  <si>
    <t>Title Insurance</t>
  </si>
  <si>
    <t>Attorney Fees</t>
  </si>
  <si>
    <t>Loan Origination Fees</t>
  </si>
  <si>
    <t>Real Estate Agent Commision 5%-6%</t>
  </si>
  <si>
    <t>Prepayment Analysis</t>
  </si>
  <si>
    <t>Prepayment Made this Year</t>
  </si>
  <si>
    <t>Cost of Loan</t>
  </si>
  <si>
    <t>Pay Off Date</t>
  </si>
  <si>
    <t>Interest Paid</t>
  </si>
  <si>
    <t>Current Projection</t>
  </si>
  <si>
    <t>Full Loan Term (fixed rate payments only)</t>
  </si>
  <si>
    <t>Remaining Principal EOY</t>
  </si>
  <si>
    <t>Mortgage Payment Made This Year</t>
  </si>
  <si>
    <t>Total Installments</t>
  </si>
  <si>
    <t>Installments Paid</t>
  </si>
  <si>
    <t>Installments Remaining</t>
  </si>
  <si>
    <t>Principal Remaining</t>
  </si>
  <si>
    <t>Monthly Fixed-rate Payment (Estimate)</t>
  </si>
  <si>
    <t>Installments Ahead</t>
  </si>
  <si>
    <t># Installments Shaved Off By Prepayments</t>
  </si>
  <si>
    <t>Decrease on Loan Interest Made by Prepayments</t>
  </si>
  <si>
    <t xml:space="preserve">Difference From the Original Cost of Loan </t>
  </si>
  <si>
    <t>Buying Costs</t>
  </si>
  <si>
    <t>Selling Costs</t>
  </si>
  <si>
    <t>Out-of-Pocket Payment</t>
  </si>
  <si>
    <t>Out-of-Pocket Payment Made This Year</t>
  </si>
  <si>
    <t>Month+Year</t>
  </si>
  <si>
    <t>Rental Income Tax Withholding/mo</t>
  </si>
  <si>
    <t>Rental Income/mo</t>
  </si>
  <si>
    <t>Rental Income This Year</t>
  </si>
  <si>
    <t>Rental Activity This Year</t>
  </si>
  <si>
    <t>My Tax Rate</t>
  </si>
  <si>
    <t>Rent Charged</t>
  </si>
  <si>
    <t>Rental Income Tax Withholding This Year</t>
  </si>
  <si>
    <t>Out-of-Pocket Payment Needed This mo</t>
  </si>
  <si>
    <t>Out-of-Pocket Mortgage Burden This Year</t>
  </si>
  <si>
    <t>Unrecoverable Costs This Year</t>
  </si>
  <si>
    <t>Property Cost This Year</t>
  </si>
  <si>
    <t>Property Cost/mo (Mortgage+Fees)</t>
  </si>
  <si>
    <t>Rental Income Paid to Property Cost This mo</t>
  </si>
  <si>
    <t>After-Tax Rental Income This Year</t>
  </si>
  <si>
    <t>By Bill Shi</t>
  </si>
  <si>
    <t>Doc Type</t>
  </si>
  <si>
    <t>MWWRI</t>
  </si>
  <si>
    <t>Payment to Property This Year</t>
  </si>
  <si>
    <t>Mortgage Payment This mo (at least fixed rate amount)</t>
  </si>
  <si>
    <t>Improvement/Repair Cost</t>
  </si>
  <si>
    <t>Fees/mo (Upkeep+HOA+Tax+Preminum)</t>
  </si>
  <si>
    <t>Document Version 1.2</t>
  </si>
  <si>
    <t>Deferred Buying Analysis</t>
  </si>
  <si>
    <t>Home Price</t>
  </si>
  <si>
    <t>Interest/mo</t>
  </si>
  <si>
    <t>Loan Term (Yr)</t>
  </si>
  <si>
    <t>Loan Term (Mo)</t>
  </si>
  <si>
    <t>Months Deferred</t>
  </si>
  <si>
    <t>Rent/mo</t>
  </si>
  <si>
    <t>Rent Expense Accured</t>
  </si>
  <si>
    <t>Down Payment</t>
  </si>
  <si>
    <t>Down Payment Saving/mo</t>
  </si>
  <si>
    <t>Fixed Rate Payment</t>
  </si>
  <si>
    <t>Property Fees/mo</t>
  </si>
  <si>
    <t>Property Fees Accured</t>
  </si>
  <si>
    <t>How Much Less Interest You Pay</t>
  </si>
  <si>
    <t>$ saved or lost over x months when paying rent (vs. interest and property fees)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</si>
</sst>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26">
    <xf numFmtId="0" fontId="0" fillId="0" borderId="0" xfId="0"/>
    <xf numFmtId="44" fontId="0" fillId="0" borderId="0" xfId="0" applyNumberFormat="1"/>
    <xf numFmtId="0" fontId="2" fillId="0" borderId="0" xfId="0" applyFont="1"/>
    <xf numFmtId="0" fontId="0" fillId="0" borderId="1" xfId="0" applyBorder="1"/>
    <xf numFmtId="14" fontId="0" fillId="0" borderId="2" xfId="0" applyNumberFormat="1" applyBorder="1"/>
    <xf numFmtId="0" fontId="0" fillId="0" borderId="3" xfId="0" applyBorder="1"/>
    <xf numFmtId="44" fontId="0" fillId="0" borderId="4" xfId="0" applyNumberFormat="1" applyBorder="1"/>
    <xf numFmtId="10" fontId="0" fillId="0" borderId="4" xfId="0" applyNumberFormat="1" applyBorder="1"/>
    <xf numFmtId="0" fontId="0" fillId="0" borderId="4" xfId="0" applyBorder="1"/>
    <xf numFmtId="0" fontId="0" fillId="0" borderId="5" xfId="0" applyBorder="1"/>
    <xf numFmtId="44" fontId="0" fillId="0" borderId="6" xfId="0" applyNumberFormat="1" applyBorder="1"/>
    <xf numFmtId="0" fontId="0" fillId="0" borderId="0" xfId="0" applyAlignment="1">
      <alignment wrapText="1"/>
    </xf>
    <xf numFmtId="0" fontId="0" fillId="0" borderId="6" xfId="0" applyBorder="1"/>
    <xf numFmtId="0" fontId="0" fillId="0" borderId="0" xfId="0" applyAlignment="1">
      <alignment horizontal="left" wrapText="1"/>
    </xf>
    <xf numFmtId="44" fontId="0" fillId="0" borderId="0" xfId="0" applyNumberFormat="1" applyAlignment="1">
      <alignment wrapText="1"/>
    </xf>
    <xf numFmtId="44" fontId="0" fillId="0" borderId="10" xfId="0" applyNumberFormat="1" applyBorder="1"/>
    <xf numFmtId="44" fontId="0" fillId="0" borderId="10" xfId="0" applyNumberFormat="1" applyBorder="1" applyAlignment="1">
      <alignment wrapText="1"/>
    </xf>
    <xf numFmtId="44" fontId="0" fillId="0" borderId="14" xfId="0" applyNumberFormat="1" applyBorder="1"/>
    <xf numFmtId="44" fontId="0" fillId="0" borderId="7" xfId="0" applyNumberFormat="1" applyBorder="1" applyAlignment="1">
      <alignment wrapText="1"/>
    </xf>
    <xf numFmtId="44" fontId="0" fillId="0" borderId="11" xfId="0" applyNumberFormat="1" applyBorder="1" applyAlignment="1">
      <alignment wrapText="1"/>
    </xf>
    <xf numFmtId="44" fontId="0" fillId="0" borderId="8" xfId="0" applyNumberFormat="1" applyBorder="1" applyAlignment="1">
      <alignment wrapText="1"/>
    </xf>
    <xf numFmtId="10" fontId="0" fillId="0" borderId="2" xfId="0" applyNumberFormat="1" applyBorder="1"/>
    <xf numFmtId="44" fontId="0" fillId="0" borderId="15" xfId="0" applyNumberFormat="1" applyBorder="1"/>
    <xf numFmtId="0" fontId="0" fillId="3" borderId="7" xfId="0" applyFill="1" applyBorder="1" applyAlignment="1">
      <alignment vertical="top"/>
    </xf>
    <xf numFmtId="0" fontId="0" fillId="3" borderId="11" xfId="0" applyFill="1" applyBorder="1" applyAlignment="1">
      <alignment vertical="top"/>
    </xf>
    <xf numFmtId="0" fontId="0" fillId="3" borderId="11" xfId="0" applyFill="1" applyBorder="1" applyAlignment="1">
      <alignment vertical="top" wrapText="1"/>
    </xf>
    <xf numFmtId="0" fontId="0" fillId="3" borderId="8" xfId="0" applyFill="1" applyBorder="1" applyAlignment="1">
      <alignment vertical="top" wrapText="1"/>
    </xf>
    <xf numFmtId="44" fontId="0" fillId="0" borderId="17" xfId="0" applyNumberFormat="1" applyBorder="1"/>
    <xf numFmtId="44" fontId="0" fillId="0" borderId="18" xfId="0" applyNumberFormat="1" applyBorder="1"/>
    <xf numFmtId="44" fontId="0" fillId="0" borderId="19" xfId="0" applyNumberFormat="1" applyBorder="1"/>
    <xf numFmtId="0" fontId="2" fillId="0" borderId="15" xfId="0" applyFont="1" applyBorder="1"/>
    <xf numFmtId="0" fontId="0" fillId="0" borderId="8" xfId="0" applyBorder="1" applyAlignment="1">
      <alignment wrapText="1"/>
    </xf>
    <xf numFmtId="0" fontId="2" fillId="2" borderId="1" xfId="0" applyFont="1" applyFill="1" applyBorder="1" applyAlignment="1">
      <alignment wrapText="1"/>
    </xf>
    <xf numFmtId="0" fontId="2" fillId="2" borderId="9" xfId="0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  <xf numFmtId="0" fontId="2" fillId="2" borderId="15" xfId="0" applyFont="1" applyFill="1" applyBorder="1" applyAlignment="1">
      <alignment wrapText="1"/>
    </xf>
    <xf numFmtId="0" fontId="2" fillId="3" borderId="11" xfId="0" applyFont="1" applyFill="1" applyBorder="1" applyAlignment="1">
      <alignment wrapText="1"/>
    </xf>
    <xf numFmtId="44" fontId="0" fillId="0" borderId="7" xfId="0" applyNumberFormat="1" applyBorder="1"/>
    <xf numFmtId="44" fontId="0" fillId="0" borderId="11" xfId="0" applyNumberFormat="1" applyBorder="1"/>
    <xf numFmtId="0" fontId="0" fillId="3" borderId="0" xfId="0" applyFill="1" applyAlignment="1">
      <alignment vertical="top" wrapText="1"/>
    </xf>
    <xf numFmtId="0" fontId="1" fillId="2" borderId="21" xfId="0" applyFont="1" applyFill="1" applyBorder="1" applyAlignment="1">
      <alignment vertical="top"/>
    </xf>
    <xf numFmtId="44" fontId="0" fillId="0" borderId="20" xfId="0" applyNumberFormat="1" applyBorder="1"/>
    <xf numFmtId="44" fontId="0" fillId="0" borderId="13" xfId="0" applyNumberFormat="1" applyBorder="1"/>
    <xf numFmtId="0" fontId="1" fillId="2" borderId="16" xfId="0" applyFont="1" applyFill="1" applyBorder="1" applyAlignment="1">
      <alignment vertical="top" wrapText="1"/>
    </xf>
    <xf numFmtId="0" fontId="2" fillId="0" borderId="0" xfId="0" applyFont="1" applyAlignment="1">
      <alignment wrapText="1"/>
    </xf>
    <xf numFmtId="10" fontId="0" fillId="0" borderId="0" xfId="0" applyNumberFormat="1"/>
    <xf numFmtId="44" fontId="0" fillId="0" borderId="9" xfId="0" applyNumberFormat="1" applyBorder="1"/>
    <xf numFmtId="0" fontId="1" fillId="2" borderId="12" xfId="0" applyFont="1" applyFill="1" applyBorder="1" applyAlignment="1">
      <alignment vertical="top" wrapText="1"/>
    </xf>
    <xf numFmtId="0" fontId="0" fillId="3" borderId="9" xfId="0" applyFill="1" applyBorder="1" applyAlignment="1">
      <alignment vertical="top" wrapText="1"/>
    </xf>
    <xf numFmtId="164" fontId="0" fillId="0" borderId="22" xfId="0" applyNumberFormat="1" applyBorder="1"/>
    <xf numFmtId="164" fontId="0" fillId="0" borderId="23" xfId="0" applyNumberFormat="1" applyBorder="1"/>
    <xf numFmtId="164" fontId="0" fillId="0" borderId="24" xfId="0" applyNumberFormat="1" applyBorder="1"/>
    <xf numFmtId="44" fontId="0" fillId="0" borderId="12" xfId="0" applyNumberFormat="1" applyBorder="1" applyAlignment="1">
      <alignment wrapText="1"/>
    </xf>
    <xf numFmtId="0" fontId="1" fillId="2" borderId="12" xfId="0" applyFont="1" applyFill="1" applyBorder="1" applyAlignment="1">
      <alignment wrapText="1"/>
    </xf>
    <xf numFmtId="0" fontId="2" fillId="3" borderId="7" xfId="0" applyFont="1" applyFill="1" applyBorder="1" applyAlignment="1">
      <alignment wrapText="1"/>
    </xf>
    <xf numFmtId="0" fontId="2" fillId="3" borderId="8" xfId="0" applyFont="1" applyFill="1" applyBorder="1" applyAlignment="1">
      <alignment wrapText="1"/>
    </xf>
    <xf numFmtId="44" fontId="0" fillId="0" borderId="14" xfId="0" applyNumberFormat="1" applyBorder="1" applyAlignment="1">
      <alignment wrapText="1"/>
    </xf>
    <xf numFmtId="44" fontId="0" fillId="0" borderId="12" xfId="0" applyNumberFormat="1" applyBorder="1"/>
    <xf numFmtId="44" fontId="0" fillId="0" borderId="25" xfId="0" applyNumberFormat="1" applyBorder="1" applyAlignment="1">
      <alignment wrapText="1"/>
    </xf>
    <xf numFmtId="0" fontId="0" fillId="4" borderId="0" xfId="0" applyFill="1"/>
    <xf numFmtId="0" fontId="0" fillId="5" borderId="1" xfId="0" applyFill="1" applyBorder="1"/>
    <xf numFmtId="44" fontId="0" fillId="5" borderId="2" xfId="0" applyNumberFormat="1" applyFill="1" applyBorder="1"/>
    <xf numFmtId="0" fontId="0" fillId="4" borderId="1" xfId="0" applyFill="1" applyBorder="1"/>
    <xf numFmtId="0" fontId="0" fillId="4" borderId="9" xfId="0" applyFill="1" applyBorder="1" applyAlignment="1">
      <alignment wrapText="1"/>
    </xf>
    <xf numFmtId="0" fontId="0" fillId="4" borderId="9" xfId="0" applyFill="1" applyBorder="1"/>
    <xf numFmtId="0" fontId="0" fillId="4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4" borderId="3" xfId="0" applyFill="1" applyBorder="1"/>
    <xf numFmtId="0" fontId="0" fillId="4" borderId="0" xfId="0" applyFill="1" applyAlignment="1">
      <alignment wrapText="1"/>
    </xf>
    <xf numFmtId="44" fontId="0" fillId="5" borderId="2" xfId="0" applyNumberFormat="1" applyFill="1" applyBorder="1" applyAlignment="1">
      <alignment wrapText="1"/>
    </xf>
    <xf numFmtId="0" fontId="0" fillId="4" borderId="4" xfId="0" applyFill="1" applyBorder="1"/>
    <xf numFmtId="10" fontId="0" fillId="5" borderId="4" xfId="0" applyNumberFormat="1" applyFill="1" applyBorder="1" applyAlignment="1">
      <alignment wrapText="1"/>
    </xf>
    <xf numFmtId="0" fontId="0" fillId="5" borderId="0" xfId="0" applyFill="1" applyAlignment="1">
      <alignment wrapText="1"/>
    </xf>
    <xf numFmtId="10" fontId="0" fillId="5" borderId="0" xfId="0" applyNumberFormat="1" applyFill="1"/>
    <xf numFmtId="0" fontId="0" fillId="5" borderId="5" xfId="0" applyFill="1" applyBorder="1"/>
    <xf numFmtId="0" fontId="0" fillId="5" borderId="6" xfId="0" applyFill="1" applyBorder="1" applyAlignment="1">
      <alignment wrapText="1"/>
    </xf>
    <xf numFmtId="0" fontId="0" fillId="5" borderId="0" xfId="0" applyFill="1"/>
    <xf numFmtId="0" fontId="0" fillId="5" borderId="3" xfId="0" applyFill="1" applyBorder="1" applyAlignment="1">
      <alignment wrapText="1"/>
    </xf>
    <xf numFmtId="0" fontId="0" fillId="4" borderId="5" xfId="0" applyFill="1" applyBorder="1"/>
    <xf numFmtId="0" fontId="0" fillId="4" borderId="10" xfId="0" applyFill="1" applyBorder="1" applyAlignment="1">
      <alignment wrapText="1"/>
    </xf>
    <xf numFmtId="0" fontId="0" fillId="4" borderId="10" xfId="0" applyFill="1" applyBorder="1"/>
    <xf numFmtId="0" fontId="0" fillId="4" borderId="6" xfId="0" applyFill="1" applyBorder="1" applyAlignment="1">
      <alignment wrapText="1"/>
    </xf>
    <xf numFmtId="14" fontId="0" fillId="4" borderId="4" xfId="0" applyNumberFormat="1" applyFill="1" applyBorder="1"/>
    <xf numFmtId="0" fontId="0" fillId="2" borderId="7" xfId="0" applyFill="1" applyBorder="1" applyAlignment="1">
      <alignment wrapText="1"/>
    </xf>
    <xf numFmtId="0" fontId="0" fillId="2" borderId="11" xfId="0" applyFill="1" applyBorder="1" applyAlignment="1">
      <alignment wrapText="1"/>
    </xf>
    <xf numFmtId="0" fontId="0" fillId="2" borderId="11" xfId="0" applyFill="1" applyBorder="1"/>
    <xf numFmtId="8" fontId="0" fillId="2" borderId="11" xfId="0" applyNumberFormat="1" applyFill="1" applyBorder="1" applyAlignment="1">
      <alignment wrapText="1"/>
    </xf>
    <xf numFmtId="8" fontId="0" fillId="2" borderId="11" xfId="0" applyNumberFormat="1" applyFill="1" applyBorder="1"/>
    <xf numFmtId="8" fontId="0" fillId="2" borderId="8" xfId="0" applyNumberFormat="1" applyFill="1" applyBorder="1" applyAlignment="1">
      <alignment wrapText="1"/>
    </xf>
    <xf numFmtId="44" fontId="0" fillId="5" borderId="4" xfId="0" applyNumberFormat="1" applyFill="1" applyBorder="1"/>
    <xf numFmtId="44" fontId="0" fillId="5" borderId="15" xfId="0" applyNumberFormat="1" applyFill="1" applyBorder="1"/>
    <xf numFmtId="8" fontId="0" fillId="5" borderId="9" xfId="0" applyNumberFormat="1" applyFill="1" applyBorder="1"/>
    <xf numFmtId="8" fontId="0" fillId="4" borderId="9" xfId="0" applyNumberFormat="1" applyFill="1" applyBorder="1"/>
    <xf numFmtId="8" fontId="0" fillId="4" borderId="2" xfId="0" applyNumberFormat="1" applyFill="1" applyBorder="1"/>
    <xf numFmtId="0" fontId="0" fillId="5" borderId="7" xfId="0" applyFill="1" applyBorder="1"/>
    <xf numFmtId="44" fontId="0" fillId="5" borderId="8" xfId="0" applyNumberFormat="1" applyFill="1" applyBorder="1" applyAlignment="1">
      <alignment wrapText="1"/>
    </xf>
    <xf numFmtId="44" fontId="0" fillId="5" borderId="0" xfId="0" applyNumberFormat="1" applyFill="1" applyAlignment="1">
      <alignment wrapText="1"/>
    </xf>
    <xf numFmtId="44" fontId="0" fillId="5" borderId="15" xfId="0" applyNumberFormat="1" applyFill="1" applyBorder="1" applyAlignment="1">
      <alignment wrapText="1"/>
    </xf>
    <xf numFmtId="8" fontId="0" fillId="5" borderId="0" xfId="0" applyNumberFormat="1" applyFill="1"/>
    <xf numFmtId="44" fontId="0" fillId="5" borderId="0" xfId="0" applyNumberFormat="1" applyFill="1"/>
    <xf numFmtId="8" fontId="0" fillId="5" borderId="4" xfId="0" applyNumberFormat="1" applyFill="1" applyBorder="1"/>
    <xf numFmtId="0" fontId="0" fillId="5" borderId="5" xfId="0" applyFill="1" applyBorder="1" applyAlignment="1">
      <alignment wrapText="1"/>
    </xf>
    <xf numFmtId="44" fontId="0" fillId="5" borderId="6" xfId="0" applyNumberFormat="1" applyFill="1" applyBorder="1"/>
    <xf numFmtId="44" fontId="0" fillId="4" borderId="0" xfId="0" applyNumberFormat="1" applyFill="1"/>
    <xf numFmtId="8" fontId="0" fillId="4" borderId="0" xfId="0" applyNumberFormat="1" applyFill="1"/>
    <xf numFmtId="44" fontId="0" fillId="5" borderId="10" xfId="0" applyNumberFormat="1" applyFill="1" applyBorder="1" applyAlignment="1">
      <alignment wrapText="1"/>
    </xf>
    <xf numFmtId="44" fontId="0" fillId="4" borderId="10" xfId="0" applyNumberFormat="1" applyFill="1" applyBorder="1"/>
    <xf numFmtId="8" fontId="0" fillId="5" borderId="10" xfId="0" applyNumberFormat="1" applyFill="1" applyBorder="1"/>
    <xf numFmtId="8" fontId="0" fillId="4" borderId="10" xfId="0" applyNumberFormat="1" applyFill="1" applyBorder="1"/>
    <xf numFmtId="44" fontId="0" fillId="5" borderId="10" xfId="0" applyNumberFormat="1" applyFill="1" applyBorder="1"/>
    <xf numFmtId="8" fontId="0" fillId="5" borderId="6" xfId="0" applyNumberFormat="1" applyFill="1" applyBorder="1"/>
    <xf numFmtId="8" fontId="0" fillId="0" borderId="0" xfId="0" applyNumberFormat="1"/>
    <xf numFmtId="0" fontId="0" fillId="5" borderId="2" xfId="0" applyFill="1" applyBorder="1"/>
    <xf numFmtId="14" fontId="0" fillId="5" borderId="4" xfId="0" applyNumberFormat="1" applyFill="1" applyBorder="1"/>
    <xf numFmtId="0" fontId="3" fillId="0" borderId="0" xfId="0" applyFont="1" applyAlignment="1">
      <alignment horizontal="left"/>
    </xf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</cellXfs>
  <cellStyles count="1">
    <cellStyle name="Normal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ersonalAcc\Documents\Accounting%20Workspace\loan_vba_repo\Mortgage%20Worksheet.xlsm" TargetMode="External"/><Relationship Id="rId1" Type="http://schemas.openxmlformats.org/officeDocument/2006/relationships/externalLinkPath" Target="Mortgage%20Workshee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fo"/>
      <sheetName val="Year1"/>
      <sheetName val="Analysis"/>
    </sheetNames>
    <sheetDataSet>
      <sheetData sheetId="0">
        <row r="4">
          <cell r="C4">
            <v>44954</v>
          </cell>
        </row>
        <row r="5">
          <cell r="C5">
            <v>240000</v>
          </cell>
        </row>
        <row r="8">
          <cell r="C8">
            <v>1454.39</v>
          </cell>
        </row>
        <row r="14">
          <cell r="C14">
            <v>5.0833333333333329E-3</v>
          </cell>
        </row>
        <row r="15">
          <cell r="C15">
            <v>360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E15"/>
  <sheetViews>
    <sheetView zoomScale="160" zoomScaleNormal="160" workbookViewId="0">
      <selection activeCell="C5" sqref="C5"/>
    </sheetView>
  </sheetViews>
  <sheetFormatPr defaultRowHeight="15" x14ac:dyDescent="0.25"/>
  <cols>
    <col min="2" max="2" width="37.140625" customWidth="1"/>
    <col min="3" max="3" width="21" customWidth="1"/>
    <col min="5" max="5" width="33.140625" customWidth="1"/>
    <col min="6" max="6" width="8.85546875" customWidth="1"/>
  </cols>
  <sheetData>
    <row r="3" spans="2:5" x14ac:dyDescent="0.25">
      <c r="B3" s="30" t="s">
        <v>1</v>
      </c>
    </row>
    <row r="4" spans="2:5" x14ac:dyDescent="0.25">
      <c r="B4" s="3" t="s">
        <v>5</v>
      </c>
      <c r="C4" s="4">
        <v>44954</v>
      </c>
      <c r="E4" s="2" t="s">
        <v>69</v>
      </c>
    </row>
    <row r="5" spans="2:5" x14ac:dyDescent="0.25">
      <c r="B5" s="5" t="s">
        <v>2</v>
      </c>
      <c r="C5" s="6">
        <f>240000</f>
        <v>240000</v>
      </c>
      <c r="E5" s="2" t="s">
        <v>62</v>
      </c>
    </row>
    <row r="6" spans="2:5" x14ac:dyDescent="0.25">
      <c r="B6" s="5" t="s">
        <v>0</v>
      </c>
      <c r="C6" s="7">
        <v>6.0999999999999999E-2</v>
      </c>
    </row>
    <row r="7" spans="2:5" x14ac:dyDescent="0.25">
      <c r="B7" s="5" t="s">
        <v>3</v>
      </c>
      <c r="C7" s="8">
        <v>30</v>
      </c>
    </row>
    <row r="8" spans="2:5" x14ac:dyDescent="0.25">
      <c r="B8" s="5" t="s">
        <v>4</v>
      </c>
      <c r="C8" s="6">
        <f>C9</f>
        <v>1454.39</v>
      </c>
    </row>
    <row r="9" spans="2:5" x14ac:dyDescent="0.25">
      <c r="B9" s="9" t="s">
        <v>38</v>
      </c>
      <c r="C9" s="10">
        <f>ROUND(-PMT(C14, C15,C5),2)</f>
        <v>1454.39</v>
      </c>
    </row>
    <row r="13" spans="2:5" x14ac:dyDescent="0.25">
      <c r="B13" s="30" t="s">
        <v>6</v>
      </c>
    </row>
    <row r="14" spans="2:5" x14ac:dyDescent="0.25">
      <c r="B14" s="3" t="s">
        <v>7</v>
      </c>
      <c r="C14" s="21">
        <f>C6/12</f>
        <v>5.0833333333333329E-3</v>
      </c>
    </row>
    <row r="15" spans="2:5" x14ac:dyDescent="0.25">
      <c r="B15" s="9" t="s">
        <v>8</v>
      </c>
      <c r="C15" s="12">
        <f>12*C7</f>
        <v>360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4BA5F-CCB2-4381-BD76-4E5AD78F4671}">
  <sheetPr codeName="Sheet2"/>
  <dimension ref="A1:Q47"/>
  <sheetViews>
    <sheetView zoomScale="110" zoomScaleNormal="110" workbookViewId="0">
      <pane ySplit="7" topLeftCell="A8" activePane="bottomLeft" state="frozen"/>
      <selection pane="bottomLeft" activeCell="F5" sqref="F5"/>
    </sheetView>
  </sheetViews>
  <sheetFormatPr defaultRowHeight="15" x14ac:dyDescent="0.25"/>
  <cols>
    <col min="1" max="1" width="12.85546875" customWidth="1"/>
    <col min="2" max="4" width="16.85546875" customWidth="1"/>
    <col min="5" max="8" width="21" customWidth="1"/>
    <col min="9" max="9" width="16.85546875" customWidth="1"/>
    <col min="10" max="12" width="21" customWidth="1"/>
    <col min="13" max="13" width="21" style="11" customWidth="1"/>
    <col min="14" max="14" width="16.85546875" style="11" customWidth="1"/>
    <col min="15" max="17" width="16.85546875" customWidth="1"/>
  </cols>
  <sheetData>
    <row r="1" spans="1:17" ht="15" customHeight="1" x14ac:dyDescent="0.25"/>
    <row r="2" spans="1:17" x14ac:dyDescent="0.25">
      <c r="A2" s="115" t="s">
        <v>15</v>
      </c>
      <c r="B2" s="115"/>
      <c r="D2" s="115" t="s">
        <v>51</v>
      </c>
      <c r="E2" s="115"/>
      <c r="G2" s="116" t="s">
        <v>25</v>
      </c>
      <c r="H2" s="117"/>
      <c r="I2" s="118"/>
      <c r="M2"/>
      <c r="N2"/>
    </row>
    <row r="3" spans="1:17" ht="45" x14ac:dyDescent="0.25">
      <c r="A3" t="s">
        <v>12</v>
      </c>
      <c r="B3" s="1">
        <v>600</v>
      </c>
      <c r="D3" t="s">
        <v>53</v>
      </c>
      <c r="E3" s="1">
        <v>2000</v>
      </c>
      <c r="G3" s="54" t="s">
        <v>26</v>
      </c>
      <c r="H3" s="36" t="s">
        <v>41</v>
      </c>
      <c r="I3" s="55" t="s">
        <v>40</v>
      </c>
      <c r="J3" s="44"/>
      <c r="K3" s="44"/>
    </row>
    <row r="4" spans="1:17" x14ac:dyDescent="0.25">
      <c r="A4" t="s">
        <v>16</v>
      </c>
      <c r="B4" s="1">
        <v>3000</v>
      </c>
      <c r="D4" t="s">
        <v>52</v>
      </c>
      <c r="E4" s="45">
        <v>0.22</v>
      </c>
      <c r="G4" s="37">
        <f>SUM(E9:E20)-Info!$C$8*12</f>
        <v>1867.3199999999997</v>
      </c>
      <c r="H4" s="38">
        <f ca="1">InterestDecreaseThisYear()</f>
        <v>9159.26</v>
      </c>
      <c r="I4" s="31">
        <f ca="1">PaymentsChangeThisYear()</f>
        <v>7</v>
      </c>
      <c r="J4" s="1"/>
      <c r="K4" s="1"/>
    </row>
    <row r="5" spans="1:17" ht="45" x14ac:dyDescent="0.25">
      <c r="A5" s="13" t="s">
        <v>13</v>
      </c>
      <c r="B5" s="1">
        <v>100</v>
      </c>
    </row>
    <row r="6" spans="1:17" x14ac:dyDescent="0.25">
      <c r="B6" s="13"/>
    </row>
    <row r="7" spans="1:17" ht="15.75" thickBot="1" x14ac:dyDescent="0.3"/>
    <row r="8" spans="1:17" ht="45" customHeight="1" thickBot="1" x14ac:dyDescent="0.3">
      <c r="A8" s="23" t="s">
        <v>9</v>
      </c>
      <c r="B8" s="25" t="s">
        <v>37</v>
      </c>
      <c r="C8" s="24" t="s">
        <v>10</v>
      </c>
      <c r="D8" s="24" t="s">
        <v>11</v>
      </c>
      <c r="E8" s="25" t="s">
        <v>66</v>
      </c>
      <c r="F8" s="25" t="s">
        <v>60</v>
      </c>
      <c r="G8" s="39" t="s">
        <v>59</v>
      </c>
      <c r="H8" s="47" t="s">
        <v>49</v>
      </c>
      <c r="I8" s="48" t="s">
        <v>48</v>
      </c>
      <c r="J8" s="39" t="s">
        <v>55</v>
      </c>
      <c r="K8" s="43" t="s">
        <v>45</v>
      </c>
      <c r="L8" s="40" t="s">
        <v>47</v>
      </c>
      <c r="M8" s="25" t="s">
        <v>68</v>
      </c>
      <c r="N8" s="25" t="s">
        <v>67</v>
      </c>
      <c r="O8" s="25" t="s">
        <v>12</v>
      </c>
      <c r="P8" s="25" t="s">
        <v>14</v>
      </c>
      <c r="Q8" s="26" t="s">
        <v>13</v>
      </c>
    </row>
    <row r="9" spans="1:17" x14ac:dyDescent="0.25">
      <c r="A9">
        <f ca="1">IF(PreviousSheet()="Info", 1, PreviousSheet("A20")+1)</f>
        <v>1</v>
      </c>
      <c r="B9" s="1">
        <f ca="1">IF(PreviousSheet()="Info",Info!$C$5-D9,PreviousSheet("B20")-D9)</f>
        <v>239610</v>
      </c>
      <c r="C9" s="1">
        <f ca="1">IF(PreviousSheet()="Info", Info!$C$5*Info!$C$14, PreviousSheet("B20")*Info!$C$14)</f>
        <v>1220</v>
      </c>
      <c r="D9" s="1">
        <f ca="1">E9-C9</f>
        <v>390</v>
      </c>
      <c r="E9" s="46">
        <f>MAX(Info!$C$8,F9+K9-M9)</f>
        <v>1610</v>
      </c>
      <c r="F9" s="46">
        <f>H9*(1-$E$4)</f>
        <v>1560</v>
      </c>
      <c r="G9" s="46">
        <f>Info!$C$8+M9</f>
        <v>2404.3900000000003</v>
      </c>
      <c r="H9" s="41">
        <f>$E$3</f>
        <v>2000</v>
      </c>
      <c r="I9" s="46">
        <f>H9*$E$4</f>
        <v>440</v>
      </c>
      <c r="J9" s="46">
        <f>MAX(0,G9-F9)</f>
        <v>844.39000000000033</v>
      </c>
      <c r="K9" s="29">
        <v>1000</v>
      </c>
      <c r="L9" s="49"/>
      <c r="M9" s="14">
        <f>N9+O9+P9+Q9</f>
        <v>950</v>
      </c>
      <c r="N9" s="14">
        <v>0</v>
      </c>
      <c r="O9" s="1">
        <f t="shared" ref="O9:O20" si="0">$B$3</f>
        <v>600</v>
      </c>
      <c r="P9" s="1">
        <f>$B$4/12</f>
        <v>250</v>
      </c>
      <c r="Q9" s="6">
        <f t="shared" ref="Q9:Q20" si="1">$B$5</f>
        <v>100</v>
      </c>
    </row>
    <row r="10" spans="1:17" x14ac:dyDescent="0.25">
      <c r="A10" s="5">
        <f ca="1">A9+1</f>
        <v>2</v>
      </c>
      <c r="B10" s="1">
        <f ca="1">$B9-$D10</f>
        <v>239218.01749999999</v>
      </c>
      <c r="C10" s="1">
        <f ca="1">B9*Info!$C$14</f>
        <v>1218.0174999999999</v>
      </c>
      <c r="D10" s="1">
        <f t="shared" ref="D10:D20" ca="1" si="2">E10-C10</f>
        <v>391.98250000000007</v>
      </c>
      <c r="E10" s="1">
        <f>MAX(Info!$C$8,F10+K10-M10)</f>
        <v>1610</v>
      </c>
      <c r="F10" s="1">
        <f t="shared" ref="F10:F20" si="3">H10*(1-$E$4)</f>
        <v>1560</v>
      </c>
      <c r="G10" s="1">
        <f>Info!$C$8+M10</f>
        <v>2404.3900000000003</v>
      </c>
      <c r="H10" s="42">
        <f t="shared" ref="H10:H20" si="4">$E$3</f>
        <v>2000</v>
      </c>
      <c r="I10" s="1">
        <f t="shared" ref="I10:I20" si="5">H10*$E$4</f>
        <v>440</v>
      </c>
      <c r="J10" s="1">
        <f t="shared" ref="J10:J20" si="6">MAX(0,G10-F10)</f>
        <v>844.39000000000033</v>
      </c>
      <c r="K10" s="27">
        <v>1000</v>
      </c>
      <c r="L10" s="50"/>
      <c r="M10" s="14">
        <f t="shared" ref="M10:M20" si="7">N10+O10+P10+Q10</f>
        <v>950</v>
      </c>
      <c r="N10" s="14">
        <v>0</v>
      </c>
      <c r="O10" s="1">
        <f t="shared" si="0"/>
        <v>600</v>
      </c>
      <c r="P10" s="1">
        <f>P$9</f>
        <v>250</v>
      </c>
      <c r="Q10" s="6">
        <f t="shared" si="1"/>
        <v>100</v>
      </c>
    </row>
    <row r="11" spans="1:17" x14ac:dyDescent="0.25">
      <c r="A11" s="5">
        <f t="shared" ref="A11:A20" ca="1" si="8">A10+1</f>
        <v>3</v>
      </c>
      <c r="B11" s="1">
        <f t="shared" ref="B11:B20" ca="1" si="9">$B10-$D11</f>
        <v>238824.04242229165</v>
      </c>
      <c r="C11" s="1">
        <f ca="1">B10*Info!$C$14</f>
        <v>1216.0249222916666</v>
      </c>
      <c r="D11" s="1">
        <f t="shared" ca="1" si="2"/>
        <v>393.9750777083334</v>
      </c>
      <c r="E11" s="1">
        <f>MAX(Info!$C$8,F11+K11-M11)</f>
        <v>1610</v>
      </c>
      <c r="F11" s="1">
        <f t="shared" si="3"/>
        <v>1560</v>
      </c>
      <c r="G11" s="1">
        <f>Info!$C$8+M11</f>
        <v>2404.3900000000003</v>
      </c>
      <c r="H11" s="42">
        <f t="shared" si="4"/>
        <v>2000</v>
      </c>
      <c r="I11" s="1">
        <f t="shared" si="5"/>
        <v>440</v>
      </c>
      <c r="J11" s="1">
        <f t="shared" si="6"/>
        <v>844.39000000000033</v>
      </c>
      <c r="K11" s="27">
        <v>1000</v>
      </c>
      <c r="L11" s="50"/>
      <c r="M11" s="14">
        <f t="shared" si="7"/>
        <v>950</v>
      </c>
      <c r="N11" s="14">
        <v>0</v>
      </c>
      <c r="O11" s="1">
        <f t="shared" si="0"/>
        <v>600</v>
      </c>
      <c r="P11" s="1">
        <f t="shared" ref="P11:P20" si="10">P$9</f>
        <v>250</v>
      </c>
      <c r="Q11" s="6">
        <f t="shared" si="1"/>
        <v>100</v>
      </c>
    </row>
    <row r="12" spans="1:17" x14ac:dyDescent="0.25">
      <c r="A12" s="5">
        <f t="shared" ca="1" si="8"/>
        <v>4</v>
      </c>
      <c r="B12" s="1">
        <f t="shared" ca="1" si="9"/>
        <v>238428.06463793831</v>
      </c>
      <c r="C12" s="1">
        <f ca="1">B11*Info!$C$14</f>
        <v>1214.0222156466491</v>
      </c>
      <c r="D12" s="1">
        <f t="shared" ca="1" si="2"/>
        <v>395.9777843533509</v>
      </c>
      <c r="E12" s="1">
        <f>MAX(Info!$C$8,F12+K12-M12)</f>
        <v>1610</v>
      </c>
      <c r="F12" s="1">
        <f t="shared" si="3"/>
        <v>1560</v>
      </c>
      <c r="G12" s="1">
        <f>Info!$C$8+M12</f>
        <v>2404.3900000000003</v>
      </c>
      <c r="H12" s="42">
        <f t="shared" si="4"/>
        <v>2000</v>
      </c>
      <c r="I12" s="1">
        <f t="shared" si="5"/>
        <v>440</v>
      </c>
      <c r="J12" s="1">
        <f t="shared" si="6"/>
        <v>844.39000000000033</v>
      </c>
      <c r="K12" s="27">
        <v>1000</v>
      </c>
      <c r="L12" s="50"/>
      <c r="M12" s="14">
        <f t="shared" si="7"/>
        <v>950</v>
      </c>
      <c r="N12" s="14">
        <v>0</v>
      </c>
      <c r="O12" s="1">
        <f t="shared" si="0"/>
        <v>600</v>
      </c>
      <c r="P12" s="1">
        <f t="shared" si="10"/>
        <v>250</v>
      </c>
      <c r="Q12" s="6">
        <f t="shared" si="1"/>
        <v>100</v>
      </c>
    </row>
    <row r="13" spans="1:17" x14ac:dyDescent="0.25">
      <c r="A13" s="5">
        <f t="shared" ca="1" si="8"/>
        <v>5</v>
      </c>
      <c r="B13" s="1">
        <f t="shared" ca="1" si="9"/>
        <v>238030.07396651449</v>
      </c>
      <c r="C13" s="1">
        <f ca="1">B12*Info!$C$14</f>
        <v>1212.0093285761864</v>
      </c>
      <c r="D13" s="1">
        <f t="shared" ca="1" si="2"/>
        <v>397.99067142381364</v>
      </c>
      <c r="E13" s="1">
        <f>MAX(Info!$C$8,F13+K13-M13)</f>
        <v>1610</v>
      </c>
      <c r="F13" s="1">
        <f t="shared" si="3"/>
        <v>1560</v>
      </c>
      <c r="G13" s="1">
        <f>Info!$C$8+M13</f>
        <v>2404.3900000000003</v>
      </c>
      <c r="H13" s="42">
        <f t="shared" si="4"/>
        <v>2000</v>
      </c>
      <c r="I13" s="1">
        <f t="shared" si="5"/>
        <v>440</v>
      </c>
      <c r="J13" s="1">
        <f t="shared" si="6"/>
        <v>844.39000000000033</v>
      </c>
      <c r="K13" s="27">
        <v>1000</v>
      </c>
      <c r="L13" s="50"/>
      <c r="M13" s="14">
        <f t="shared" si="7"/>
        <v>950</v>
      </c>
      <c r="N13" s="14">
        <v>0</v>
      </c>
      <c r="O13" s="1">
        <f t="shared" si="0"/>
        <v>600</v>
      </c>
      <c r="P13" s="1">
        <f t="shared" si="10"/>
        <v>250</v>
      </c>
      <c r="Q13" s="6">
        <f t="shared" si="1"/>
        <v>100</v>
      </c>
    </row>
    <row r="14" spans="1:17" x14ac:dyDescent="0.25">
      <c r="A14" s="5">
        <f t="shared" ca="1" si="8"/>
        <v>6</v>
      </c>
      <c r="B14" s="1">
        <f t="shared" ca="1" si="9"/>
        <v>237630.06017584426</v>
      </c>
      <c r="C14" s="1">
        <f ca="1">B13*Info!$C$14</f>
        <v>1209.986209329782</v>
      </c>
      <c r="D14" s="1">
        <f t="shared" ca="1" si="2"/>
        <v>400.01379067021799</v>
      </c>
      <c r="E14" s="1">
        <f>MAX(Info!$C$8,F14+K14-M14)</f>
        <v>1610</v>
      </c>
      <c r="F14" s="1">
        <f t="shared" si="3"/>
        <v>1560</v>
      </c>
      <c r="G14" s="1">
        <f>Info!$C$8+M14</f>
        <v>2404.3900000000003</v>
      </c>
      <c r="H14" s="42">
        <f t="shared" si="4"/>
        <v>2000</v>
      </c>
      <c r="I14" s="1">
        <f t="shared" si="5"/>
        <v>440</v>
      </c>
      <c r="J14" s="1">
        <f t="shared" si="6"/>
        <v>844.39000000000033</v>
      </c>
      <c r="K14" s="27">
        <v>1000</v>
      </c>
      <c r="L14" s="50"/>
      <c r="M14" s="14">
        <f t="shared" si="7"/>
        <v>950</v>
      </c>
      <c r="N14" s="14">
        <v>0</v>
      </c>
      <c r="O14" s="1">
        <f t="shared" si="0"/>
        <v>600</v>
      </c>
      <c r="P14" s="1">
        <f t="shared" si="10"/>
        <v>250</v>
      </c>
      <c r="Q14" s="6">
        <f t="shared" si="1"/>
        <v>100</v>
      </c>
    </row>
    <row r="15" spans="1:17" x14ac:dyDescent="0.25">
      <c r="A15" s="5">
        <f t="shared" ca="1" si="8"/>
        <v>7</v>
      </c>
      <c r="B15" s="1">
        <f t="shared" ca="1" si="9"/>
        <v>237228.01298173814</v>
      </c>
      <c r="C15" s="1">
        <f ca="1">B14*Info!$C$14</f>
        <v>1207.9528058938749</v>
      </c>
      <c r="D15" s="1">
        <f ca="1">E15-C15</f>
        <v>402.04719410612506</v>
      </c>
      <c r="E15" s="1">
        <f>MAX(Info!$C$8,F15+K15-M15)</f>
        <v>1610</v>
      </c>
      <c r="F15" s="1">
        <f t="shared" si="3"/>
        <v>1560</v>
      </c>
      <c r="G15" s="1">
        <f>Info!$C$8+M15</f>
        <v>2404.3900000000003</v>
      </c>
      <c r="H15" s="42">
        <f t="shared" si="4"/>
        <v>2000</v>
      </c>
      <c r="I15" s="1">
        <f t="shared" si="5"/>
        <v>440</v>
      </c>
      <c r="J15" s="1">
        <f t="shared" si="6"/>
        <v>844.39000000000033</v>
      </c>
      <c r="K15" s="27">
        <v>1000</v>
      </c>
      <c r="L15" s="50"/>
      <c r="M15" s="14">
        <f t="shared" si="7"/>
        <v>950</v>
      </c>
      <c r="N15" s="14">
        <v>0</v>
      </c>
      <c r="O15" s="1">
        <f t="shared" si="0"/>
        <v>600</v>
      </c>
      <c r="P15" s="1">
        <f t="shared" si="10"/>
        <v>250</v>
      </c>
      <c r="Q15" s="6">
        <f t="shared" si="1"/>
        <v>100</v>
      </c>
    </row>
    <row r="16" spans="1:17" ht="15" customHeight="1" x14ac:dyDescent="0.25">
      <c r="A16" s="5">
        <f t="shared" ca="1" si="8"/>
        <v>8</v>
      </c>
      <c r="B16" s="1">
        <f t="shared" ca="1" si="9"/>
        <v>236823.92204772864</v>
      </c>
      <c r="C16" s="1">
        <f ca="1">B15*Info!$C$14</f>
        <v>1205.9090659905021</v>
      </c>
      <c r="D16" s="1">
        <f t="shared" ca="1" si="2"/>
        <v>404.09093400949791</v>
      </c>
      <c r="E16" s="1">
        <f>MAX(Info!$C$8,F16+K16-M16)</f>
        <v>1610</v>
      </c>
      <c r="F16" s="1">
        <f t="shared" si="3"/>
        <v>1560</v>
      </c>
      <c r="G16" s="1">
        <f>Info!$C$8+M16</f>
        <v>2404.3900000000003</v>
      </c>
      <c r="H16" s="42">
        <f t="shared" si="4"/>
        <v>2000</v>
      </c>
      <c r="I16" s="1">
        <f t="shared" si="5"/>
        <v>440</v>
      </c>
      <c r="J16" s="1">
        <f t="shared" si="6"/>
        <v>844.39000000000033</v>
      </c>
      <c r="K16" s="27">
        <v>1000</v>
      </c>
      <c r="L16" s="50"/>
      <c r="M16" s="14">
        <f t="shared" si="7"/>
        <v>950</v>
      </c>
      <c r="N16" s="14">
        <v>0</v>
      </c>
      <c r="O16" s="1">
        <f t="shared" si="0"/>
        <v>600</v>
      </c>
      <c r="P16" s="1">
        <f t="shared" si="10"/>
        <v>250</v>
      </c>
      <c r="Q16" s="6">
        <f t="shared" si="1"/>
        <v>100</v>
      </c>
    </row>
    <row r="17" spans="1:17" x14ac:dyDescent="0.25">
      <c r="A17" s="5">
        <f t="shared" ca="1" si="8"/>
        <v>9</v>
      </c>
      <c r="B17" s="1">
        <f t="shared" ca="1" si="9"/>
        <v>236417.7769848046</v>
      </c>
      <c r="C17" s="1">
        <f ca="1">B16*Info!$C$14</f>
        <v>1203.8549370759538</v>
      </c>
      <c r="D17" s="1">
        <f t="shared" ca="1" si="2"/>
        <v>406.14506292404621</v>
      </c>
      <c r="E17" s="1">
        <f>MAX(Info!$C$8,F17+K17-M17)</f>
        <v>1610</v>
      </c>
      <c r="F17" s="1">
        <f t="shared" si="3"/>
        <v>1560</v>
      </c>
      <c r="G17" s="1">
        <f>Info!$C$8+M17</f>
        <v>2404.3900000000003</v>
      </c>
      <c r="H17" s="42">
        <f t="shared" si="4"/>
        <v>2000</v>
      </c>
      <c r="I17" s="1">
        <f t="shared" si="5"/>
        <v>440</v>
      </c>
      <c r="J17" s="1">
        <f t="shared" si="6"/>
        <v>844.39000000000033</v>
      </c>
      <c r="K17" s="27">
        <v>1000</v>
      </c>
      <c r="L17" s="50"/>
      <c r="M17" s="14">
        <f t="shared" si="7"/>
        <v>950</v>
      </c>
      <c r="N17" s="14">
        <v>0</v>
      </c>
      <c r="O17" s="1">
        <f t="shared" si="0"/>
        <v>600</v>
      </c>
      <c r="P17" s="1">
        <f t="shared" si="10"/>
        <v>250</v>
      </c>
      <c r="Q17" s="6">
        <f t="shared" si="1"/>
        <v>100</v>
      </c>
    </row>
    <row r="18" spans="1:17" x14ac:dyDescent="0.25">
      <c r="A18" s="5">
        <f t="shared" ca="1" si="8"/>
        <v>10</v>
      </c>
      <c r="B18" s="1">
        <f t="shared" ca="1" si="9"/>
        <v>236009.56735114401</v>
      </c>
      <c r="C18" s="1">
        <f ca="1">B17*Info!$C$14</f>
        <v>1201.7903663394234</v>
      </c>
      <c r="D18" s="1">
        <f t="shared" ca="1" si="2"/>
        <v>408.20963366057663</v>
      </c>
      <c r="E18" s="1">
        <f>MAX(Info!$C$8,F18+K18-M18)</f>
        <v>1610</v>
      </c>
      <c r="F18" s="1">
        <f t="shared" si="3"/>
        <v>1560</v>
      </c>
      <c r="G18" s="1">
        <f>Info!$C$8+M18</f>
        <v>2404.3900000000003</v>
      </c>
      <c r="H18" s="42">
        <f t="shared" si="4"/>
        <v>2000</v>
      </c>
      <c r="I18" s="1">
        <f t="shared" si="5"/>
        <v>440</v>
      </c>
      <c r="J18" s="1">
        <f t="shared" si="6"/>
        <v>844.39000000000033</v>
      </c>
      <c r="K18" s="27">
        <v>1000</v>
      </c>
      <c r="L18" s="50"/>
      <c r="M18" s="14">
        <f t="shared" si="7"/>
        <v>950</v>
      </c>
      <c r="N18" s="14">
        <v>0</v>
      </c>
      <c r="O18" s="1">
        <f t="shared" si="0"/>
        <v>600</v>
      </c>
      <c r="P18" s="1">
        <f t="shared" si="10"/>
        <v>250</v>
      </c>
      <c r="Q18" s="6">
        <f t="shared" si="1"/>
        <v>100</v>
      </c>
    </row>
    <row r="19" spans="1:17" x14ac:dyDescent="0.25">
      <c r="A19" s="5">
        <f t="shared" ca="1" si="8"/>
        <v>11</v>
      </c>
      <c r="B19" s="1">
        <f t="shared" ca="1" si="9"/>
        <v>235599.28265184566</v>
      </c>
      <c r="C19" s="1">
        <f ca="1">B18*Info!$C$14</f>
        <v>1199.7153007016486</v>
      </c>
      <c r="D19" s="1">
        <f t="shared" ca="1" si="2"/>
        <v>410.28469929835137</v>
      </c>
      <c r="E19" s="1">
        <f>MAX(Info!$C$8,F19+K19-M19)</f>
        <v>1610</v>
      </c>
      <c r="F19" s="1">
        <f t="shared" si="3"/>
        <v>1560</v>
      </c>
      <c r="G19" s="1">
        <f>Info!$C$8+M19</f>
        <v>2404.3900000000003</v>
      </c>
      <c r="H19" s="42">
        <f t="shared" si="4"/>
        <v>2000</v>
      </c>
      <c r="I19" s="1">
        <f t="shared" si="5"/>
        <v>440</v>
      </c>
      <c r="J19" s="1">
        <f t="shared" si="6"/>
        <v>844.39000000000033</v>
      </c>
      <c r="K19" s="27">
        <v>1000</v>
      </c>
      <c r="L19" s="50"/>
      <c r="M19" s="14">
        <f t="shared" si="7"/>
        <v>950</v>
      </c>
      <c r="N19" s="14">
        <v>0</v>
      </c>
      <c r="O19" s="1">
        <f t="shared" si="0"/>
        <v>600</v>
      </c>
      <c r="P19" s="1">
        <f t="shared" si="10"/>
        <v>250</v>
      </c>
      <c r="Q19" s="6">
        <f t="shared" si="1"/>
        <v>100</v>
      </c>
    </row>
    <row r="20" spans="1:17" ht="15.75" thickBot="1" x14ac:dyDescent="0.3">
      <c r="A20" s="9">
        <f t="shared" ca="1" si="8"/>
        <v>12</v>
      </c>
      <c r="B20" s="15">
        <f t="shared" ca="1" si="9"/>
        <v>235186.9123386592</v>
      </c>
      <c r="C20" s="15">
        <f ca="1">B19*Info!$C$14</f>
        <v>1197.6296868135487</v>
      </c>
      <c r="D20" s="15">
        <f t="shared" ca="1" si="2"/>
        <v>412.37031318645131</v>
      </c>
      <c r="E20" s="15">
        <f>MAX(Info!$C$8,F20+K20-M20)</f>
        <v>1610</v>
      </c>
      <c r="F20" s="15">
        <f t="shared" si="3"/>
        <v>1560</v>
      </c>
      <c r="G20" s="15">
        <f>Info!$C$8+M20</f>
        <v>2404.3900000000003</v>
      </c>
      <c r="H20" s="17">
        <f t="shared" si="4"/>
        <v>2000</v>
      </c>
      <c r="I20" s="15">
        <f t="shared" si="5"/>
        <v>440</v>
      </c>
      <c r="J20" s="15">
        <f t="shared" si="6"/>
        <v>844.39000000000033</v>
      </c>
      <c r="K20" s="28">
        <v>1000</v>
      </c>
      <c r="L20" s="51"/>
      <c r="M20" s="58">
        <f t="shared" si="7"/>
        <v>950</v>
      </c>
      <c r="N20" s="16">
        <v>0</v>
      </c>
      <c r="O20" s="15">
        <f t="shared" si="0"/>
        <v>600</v>
      </c>
      <c r="P20" s="15">
        <f t="shared" si="10"/>
        <v>250</v>
      </c>
      <c r="Q20" s="10">
        <f t="shared" si="1"/>
        <v>100</v>
      </c>
    </row>
    <row r="22" spans="1:17" ht="15.75" thickBot="1" x14ac:dyDescent="0.3"/>
    <row r="23" spans="1:17" ht="45" customHeight="1" thickBot="1" x14ac:dyDescent="0.3">
      <c r="C23" s="32" t="s">
        <v>17</v>
      </c>
      <c r="D23" s="53" t="s">
        <v>18</v>
      </c>
      <c r="E23" s="33" t="s">
        <v>33</v>
      </c>
      <c r="F23" s="33"/>
      <c r="G23" s="53" t="s">
        <v>58</v>
      </c>
      <c r="H23" s="33" t="s">
        <v>50</v>
      </c>
      <c r="I23" s="33" t="s">
        <v>54</v>
      </c>
      <c r="J23" s="53" t="s">
        <v>56</v>
      </c>
      <c r="K23" s="33" t="s">
        <v>46</v>
      </c>
      <c r="L23" s="33"/>
      <c r="M23" s="34" t="s">
        <v>19</v>
      </c>
      <c r="N23" s="44"/>
    </row>
    <row r="24" spans="1:17" ht="15.75" thickBot="1" x14ac:dyDescent="0.3">
      <c r="C24" s="18">
        <f t="shared" ref="C24:D24" ca="1" si="11">SUM(C9:C20)</f>
        <v>14506.912338659231</v>
      </c>
      <c r="D24" s="56">
        <f t="shared" ca="1" si="11"/>
        <v>4813.0876613407645</v>
      </c>
      <c r="E24" s="19">
        <f>SUM(E9:E20)</f>
        <v>19320</v>
      </c>
      <c r="F24" s="19"/>
      <c r="G24" s="52">
        <f>SUM(G9:G20)</f>
        <v>28852.679999999997</v>
      </c>
      <c r="H24" s="19">
        <f>SUM(H9:H20)</f>
        <v>24000</v>
      </c>
      <c r="I24" s="19">
        <f>SUM(I9:I20)</f>
        <v>5280</v>
      </c>
      <c r="J24" s="52">
        <f>SUM(J9:J20)</f>
        <v>10132.680000000004</v>
      </c>
      <c r="K24" s="19">
        <f>SUM(K9:K20)</f>
        <v>12000</v>
      </c>
      <c r="L24" s="19"/>
      <c r="M24" s="20">
        <f>SUM(M9:M20)</f>
        <v>11400</v>
      </c>
      <c r="N24" s="14"/>
    </row>
    <row r="25" spans="1:17" ht="15.75" thickBot="1" x14ac:dyDescent="0.3"/>
    <row r="26" spans="1:17" ht="30.75" thickBot="1" x14ac:dyDescent="0.3">
      <c r="C26" s="35" t="s">
        <v>57</v>
      </c>
      <c r="H26" s="35" t="s">
        <v>61</v>
      </c>
      <c r="K26" s="53" t="s">
        <v>65</v>
      </c>
    </row>
    <row r="27" spans="1:17" ht="15.75" thickBot="1" x14ac:dyDescent="0.3">
      <c r="C27" s="22">
        <f ca="1">C24+M24</f>
        <v>25906.912338659233</v>
      </c>
      <c r="H27" s="22">
        <f>SUM(F9:F20)</f>
        <v>18720</v>
      </c>
      <c r="K27" s="57">
        <f>MAX(K24,J24)+H27</f>
        <v>30720</v>
      </c>
    </row>
    <row r="47" spans="1:2" x14ac:dyDescent="0.25">
      <c r="A47" s="2" t="s">
        <v>63</v>
      </c>
      <c r="B47" t="s">
        <v>64</v>
      </c>
    </row>
  </sheetData>
  <mergeCells count="3">
    <mergeCell ref="A2:B2"/>
    <mergeCell ref="D2:E2"/>
    <mergeCell ref="G2:I2"/>
  </mergeCells>
  <conditionalFormatting sqref="A9:Q20">
    <cfRule type="expression" dxfId="0" priority="1">
      <formula>MOD(ROW(),2)=0</formula>
    </cfRule>
  </conditionalFormatting>
  <pageMargins left="0.7" right="0.7" top="0.75" bottom="0.75" header="0.3" footer="0.3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EFC52-9AEA-4B5D-ADD2-F9F5019A3FFD}">
  <sheetPr codeName="Sheet4"/>
  <dimension ref="B2:Q37"/>
  <sheetViews>
    <sheetView tabSelected="1" topLeftCell="C1" zoomScale="110" zoomScaleNormal="110" workbookViewId="0">
      <selection activeCell="Q10" sqref="Q10"/>
    </sheetView>
  </sheetViews>
  <sheetFormatPr defaultRowHeight="15" x14ac:dyDescent="0.25"/>
  <cols>
    <col min="2" max="2" width="37.140625" customWidth="1"/>
    <col min="3" max="3" width="21" customWidth="1"/>
    <col min="4" max="6" width="8.85546875" customWidth="1"/>
    <col min="7" max="7" width="12.85546875" style="11" customWidth="1"/>
    <col min="8" max="8" width="16.85546875" style="11" customWidth="1"/>
    <col min="9" max="16" width="16.85546875" customWidth="1"/>
    <col min="17" max="17" width="29" customWidth="1"/>
    <col min="18" max="18" width="8.85546875" customWidth="1"/>
  </cols>
  <sheetData>
    <row r="2" spans="2:17" x14ac:dyDescent="0.25">
      <c r="H2" s="14"/>
    </row>
    <row r="3" spans="2:17" x14ac:dyDescent="0.25">
      <c r="B3" s="119" t="s">
        <v>30</v>
      </c>
      <c r="C3" s="120"/>
      <c r="F3" s="121" t="s">
        <v>70</v>
      </c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3"/>
    </row>
    <row r="4" spans="2:17" x14ac:dyDescent="0.25">
      <c r="B4" s="60" t="s">
        <v>32</v>
      </c>
      <c r="C4" s="61">
        <f ca="1">INDIRECT("'" &amp; PreviousSheet() &amp; "'!$B$20")</f>
        <v>235186.9123386592</v>
      </c>
      <c r="F4" s="62"/>
      <c r="G4" s="63"/>
      <c r="H4" s="63"/>
      <c r="I4" s="64"/>
      <c r="J4" s="64"/>
      <c r="K4" s="64"/>
      <c r="L4" s="64"/>
      <c r="M4" s="64"/>
      <c r="N4" s="64"/>
      <c r="O4" s="63"/>
      <c r="P4" s="64"/>
      <c r="Q4" s="65"/>
    </row>
    <row r="5" spans="2:17" x14ac:dyDescent="0.25">
      <c r="B5" s="66" t="s">
        <v>34</v>
      </c>
      <c r="C5" s="67">
        <f ca="1">C6+C7</f>
        <v>353</v>
      </c>
      <c r="F5" s="68"/>
      <c r="G5" s="69"/>
      <c r="H5" s="69"/>
      <c r="I5" s="59"/>
      <c r="J5" s="60" t="s">
        <v>71</v>
      </c>
      <c r="K5" s="70">
        <v>300000</v>
      </c>
      <c r="L5" s="59"/>
      <c r="M5" s="59"/>
      <c r="N5" s="59"/>
      <c r="O5" s="59"/>
      <c r="P5" s="59"/>
      <c r="Q5" s="71"/>
    </row>
    <row r="6" spans="2:17" x14ac:dyDescent="0.25">
      <c r="B6" s="66" t="s">
        <v>35</v>
      </c>
      <c r="C6" s="67">
        <f ca="1">INDIRECT("'" &amp; PreviousSheet() &amp; "'!$A$20")</f>
        <v>12</v>
      </c>
      <c r="F6" s="68"/>
      <c r="G6" s="69"/>
      <c r="H6" s="69"/>
      <c r="I6" s="59"/>
      <c r="J6" s="66" t="s">
        <v>0</v>
      </c>
      <c r="K6" s="72">
        <v>6.0999999999999999E-2</v>
      </c>
      <c r="L6" s="59"/>
      <c r="M6" s="73" t="s">
        <v>72</v>
      </c>
      <c r="N6" s="74">
        <f>K6/12</f>
        <v>5.0833333333333329E-3</v>
      </c>
      <c r="O6" s="59"/>
      <c r="P6" s="59"/>
      <c r="Q6" s="71"/>
    </row>
    <row r="7" spans="2:17" x14ac:dyDescent="0.25">
      <c r="B7" s="66" t="s">
        <v>36</v>
      </c>
      <c r="C7" s="67">
        <f ca="1">ROUNDUP(NPER([1]Info!$C$14, -[1]Info!$C$8, C4),0)</f>
        <v>341</v>
      </c>
      <c r="F7" s="68"/>
      <c r="G7" s="69"/>
      <c r="H7" s="69"/>
      <c r="I7" s="59"/>
      <c r="J7" s="75" t="s">
        <v>73</v>
      </c>
      <c r="K7" s="76">
        <v>30</v>
      </c>
      <c r="L7" s="59"/>
      <c r="M7" s="73" t="s">
        <v>74</v>
      </c>
      <c r="N7" s="77">
        <f>12*K7</f>
        <v>360</v>
      </c>
      <c r="O7" s="59"/>
      <c r="P7" s="59"/>
      <c r="Q7" s="71"/>
    </row>
    <row r="8" spans="2:17" x14ac:dyDescent="0.25">
      <c r="B8" s="78" t="s">
        <v>39</v>
      </c>
      <c r="C8" s="67">
        <f ca="1">PaymentsChange()</f>
        <v>7</v>
      </c>
      <c r="F8" s="79"/>
      <c r="G8" s="80"/>
      <c r="H8" s="80"/>
      <c r="I8" s="81"/>
      <c r="J8" s="81"/>
      <c r="K8" s="80"/>
      <c r="L8" s="80"/>
      <c r="M8" s="80"/>
      <c r="N8" s="80"/>
      <c r="O8" s="80"/>
      <c r="P8" s="80"/>
      <c r="Q8" s="82"/>
    </row>
    <row r="9" spans="2:17" ht="45" customHeight="1" x14ac:dyDescent="0.25">
      <c r="B9" s="68" t="s">
        <v>28</v>
      </c>
      <c r="C9" s="83">
        <f ca="1">EDATE([1]Info!$C$4, C5)</f>
        <v>55698</v>
      </c>
      <c r="F9" s="84" t="s">
        <v>75</v>
      </c>
      <c r="G9" s="85" t="s">
        <v>76</v>
      </c>
      <c r="H9" s="85" t="s">
        <v>77</v>
      </c>
      <c r="I9" s="86" t="s">
        <v>78</v>
      </c>
      <c r="J9" s="85" t="s">
        <v>79</v>
      </c>
      <c r="K9" s="87" t="s">
        <v>80</v>
      </c>
      <c r="L9" s="87" t="s">
        <v>81</v>
      </c>
      <c r="M9" s="87" t="s">
        <v>82</v>
      </c>
      <c r="N9" s="88" t="s">
        <v>27</v>
      </c>
      <c r="O9" s="88" t="s">
        <v>10</v>
      </c>
      <c r="P9" s="87" t="s">
        <v>83</v>
      </c>
      <c r="Q9" s="89" t="s">
        <v>84</v>
      </c>
    </row>
    <row r="10" spans="2:17" x14ac:dyDescent="0.25">
      <c r="B10" s="66" t="s">
        <v>27</v>
      </c>
      <c r="C10" s="90">
        <f ca="1">CostOfLoanSoFar()+NPER([1]Info!$C$14, -[1]Info!$C$8, C4)*[1]Info!$C$8</f>
        <v>514418.55997802614</v>
      </c>
      <c r="F10" s="60">
        <v>0</v>
      </c>
      <c r="G10" s="63"/>
      <c r="H10" s="63"/>
      <c r="I10" s="91">
        <v>60000</v>
      </c>
      <c r="J10" s="64"/>
      <c r="K10" s="92">
        <f>-PMT($N$6, $N$7, $K$5-I10)</f>
        <v>1454.3874853090219</v>
      </c>
      <c r="L10" s="93"/>
      <c r="M10" s="93"/>
      <c r="N10" s="92">
        <f>K10*$N$7</f>
        <v>523579.49471124791</v>
      </c>
      <c r="O10" s="92">
        <f>N10-($K$5-I10)</f>
        <v>283579.49471124791</v>
      </c>
      <c r="P10" s="93"/>
      <c r="Q10" s="94"/>
    </row>
    <row r="11" spans="2:17" ht="15" customHeight="1" x14ac:dyDescent="0.25">
      <c r="B11" s="66" t="s">
        <v>29</v>
      </c>
      <c r="C11" s="90">
        <f ca="1">C10-[1]Info!$C$5</f>
        <v>274418.55997802614</v>
      </c>
      <c r="F11" s="95">
        <v>12</v>
      </c>
      <c r="G11" s="96">
        <v>1900</v>
      </c>
      <c r="H11" s="97">
        <f>F11*$G$11</f>
        <v>22800</v>
      </c>
      <c r="I11" s="97">
        <f>I10+(F11*$J$11)</f>
        <v>79200</v>
      </c>
      <c r="J11" s="98">
        <v>1600</v>
      </c>
      <c r="K11" s="99">
        <f>-PMT($N$6, $N$7, $K$5-I11)</f>
        <v>1338.0364864843004</v>
      </c>
      <c r="L11" s="91">
        <v>950</v>
      </c>
      <c r="M11" s="100">
        <f>$L$11*F11</f>
        <v>11400</v>
      </c>
      <c r="N11" s="99">
        <f>K11*$N$7</f>
        <v>481693.13513434818</v>
      </c>
      <c r="O11" s="99">
        <f>N11-($K$5-I11)</f>
        <v>260893.13513434818</v>
      </c>
      <c r="P11" s="99">
        <f>$N$10-N11</f>
        <v>41886.359576899733</v>
      </c>
      <c r="Q11" s="101">
        <f>($L$11*F11)+P11-H11</f>
        <v>30486.359576899733</v>
      </c>
    </row>
    <row r="12" spans="2:17" ht="15" customHeight="1" x14ac:dyDescent="0.25">
      <c r="B12" s="102" t="s">
        <v>42</v>
      </c>
      <c r="C12" s="103">
        <f ca="1">C18-C10</f>
        <v>9159.2585881728446</v>
      </c>
      <c r="F12" s="66">
        <f>F11+6</f>
        <v>18</v>
      </c>
      <c r="G12" s="69"/>
      <c r="H12" s="97">
        <f>H11+$G$11*6</f>
        <v>34200</v>
      </c>
      <c r="I12" s="97">
        <f>I11+6*$J$11</f>
        <v>88800</v>
      </c>
      <c r="J12" s="104"/>
      <c r="K12" s="99">
        <f>-PMT($N$6, $N$7, $K$5-I12)</f>
        <v>1279.8609870719395</v>
      </c>
      <c r="L12" s="105"/>
      <c r="M12" s="100">
        <f>$L$11*F12</f>
        <v>17100</v>
      </c>
      <c r="N12" s="99">
        <f>K12*$N$7</f>
        <v>460749.95534589823</v>
      </c>
      <c r="O12" s="99">
        <f>N12-($K$5-I12)</f>
        <v>249549.95534589823</v>
      </c>
      <c r="P12" s="99">
        <f t="shared" ref="P12:P13" si="0">$N$10-N12</f>
        <v>62829.539365349687</v>
      </c>
      <c r="Q12" s="101">
        <f t="shared" ref="Q12:Q13" si="1">($L$11*F12)+P12-H12</f>
        <v>45729.539365349687</v>
      </c>
    </row>
    <row r="13" spans="2:17" x14ac:dyDescent="0.25">
      <c r="F13" s="75">
        <f>F12+6</f>
        <v>24</v>
      </c>
      <c r="G13" s="80"/>
      <c r="H13" s="106">
        <f>H12+$G$11*6</f>
        <v>45600</v>
      </c>
      <c r="I13" s="106">
        <f>I12+6*$J$11</f>
        <v>98400</v>
      </c>
      <c r="J13" s="107"/>
      <c r="K13" s="108">
        <f>-PMT($N$6, $N$7, $K$5-I13)</f>
        <v>1221.6854876595785</v>
      </c>
      <c r="L13" s="109"/>
      <c r="M13" s="110">
        <f>$L$11*F13</f>
        <v>22800</v>
      </c>
      <c r="N13" s="108">
        <f>K13*$N$7</f>
        <v>439806.77555744827</v>
      </c>
      <c r="O13" s="108">
        <f>N13-($K$5-I13)</f>
        <v>238206.77555744827</v>
      </c>
      <c r="P13" s="108">
        <f t="shared" si="0"/>
        <v>83772.71915379964</v>
      </c>
      <c r="Q13" s="111">
        <f t="shared" si="1"/>
        <v>60972.71915379964</v>
      </c>
    </row>
    <row r="14" spans="2:17" x14ac:dyDescent="0.25">
      <c r="H14" s="14"/>
      <c r="I14" s="14"/>
      <c r="J14" s="1"/>
      <c r="K14" s="112"/>
      <c r="L14" s="112"/>
      <c r="M14" s="112"/>
      <c r="N14" s="112"/>
      <c r="O14" s="112"/>
      <c r="P14" s="112"/>
      <c r="Q14" s="112"/>
    </row>
    <row r="15" spans="2:17" x14ac:dyDescent="0.25">
      <c r="B15" s="124" t="s">
        <v>31</v>
      </c>
      <c r="C15" s="125"/>
      <c r="H15" s="14"/>
      <c r="I15" s="14"/>
      <c r="J15" s="1"/>
      <c r="K15" s="112"/>
      <c r="L15" s="112"/>
      <c r="M15" s="112"/>
      <c r="N15" s="112"/>
      <c r="O15" s="112"/>
      <c r="P15" s="112"/>
      <c r="Q15" s="112"/>
    </row>
    <row r="16" spans="2:17" x14ac:dyDescent="0.25">
      <c r="B16" s="60" t="s">
        <v>34</v>
      </c>
      <c r="C16" s="113">
        <f>[1]Info!$C$15</f>
        <v>360</v>
      </c>
      <c r="H16" s="14"/>
      <c r="I16" s="14"/>
      <c r="J16" s="1"/>
      <c r="K16" s="112"/>
      <c r="L16" s="112"/>
      <c r="M16" s="112"/>
      <c r="N16" s="112"/>
      <c r="O16" s="112"/>
      <c r="P16" s="112"/>
      <c r="Q16" s="112"/>
    </row>
    <row r="17" spans="2:17" x14ac:dyDescent="0.25">
      <c r="B17" s="66" t="s">
        <v>28</v>
      </c>
      <c r="C17" s="114">
        <f>EDATE([1]Info!$C$4, C16)</f>
        <v>55912</v>
      </c>
      <c r="H17" s="14"/>
      <c r="I17" s="14"/>
      <c r="J17" s="1"/>
      <c r="K17" s="112"/>
      <c r="L17" s="112"/>
      <c r="M17" s="112"/>
      <c r="N17" s="112"/>
      <c r="O17" s="112"/>
      <c r="P17" s="112"/>
      <c r="Q17" s="112"/>
    </row>
    <row r="18" spans="2:17" x14ac:dyDescent="0.25">
      <c r="B18" s="66" t="s">
        <v>27</v>
      </c>
      <c r="C18" s="90">
        <f>NPER([1]Info!$C$14, -[1]Info!$C$8, [1]Info!$C5)*[1]Info!$C$8</f>
        <v>523577.81856619898</v>
      </c>
      <c r="H18" s="14"/>
      <c r="I18" s="14"/>
      <c r="J18" s="1"/>
      <c r="K18" s="112"/>
      <c r="L18" s="112"/>
      <c r="M18" s="112"/>
      <c r="N18" s="112"/>
      <c r="O18" s="112"/>
      <c r="P18" s="112"/>
      <c r="Q18" s="112"/>
    </row>
    <row r="19" spans="2:17" x14ac:dyDescent="0.25">
      <c r="B19" s="75" t="s">
        <v>29</v>
      </c>
      <c r="C19" s="103">
        <f>C18-[1]Info!$C$5</f>
        <v>283577.81856619898</v>
      </c>
      <c r="H19" s="14"/>
      <c r="I19" s="14"/>
      <c r="J19" s="1"/>
      <c r="K19" s="112"/>
      <c r="L19" s="112"/>
      <c r="M19" s="112"/>
      <c r="N19" s="112"/>
      <c r="O19" s="112"/>
      <c r="P19" s="112"/>
      <c r="Q19" s="112"/>
    </row>
    <row r="20" spans="2:17" x14ac:dyDescent="0.25">
      <c r="H20" s="14"/>
      <c r="I20" s="14"/>
      <c r="J20" s="1"/>
      <c r="K20" s="112"/>
      <c r="L20" s="112"/>
      <c r="M20" s="112"/>
      <c r="N20" s="112"/>
      <c r="O20" s="112"/>
      <c r="P20" s="112"/>
      <c r="Q20" s="112"/>
    </row>
    <row r="21" spans="2:17" x14ac:dyDescent="0.25">
      <c r="H21" s="14"/>
      <c r="I21" s="14"/>
      <c r="J21" s="1"/>
      <c r="K21" s="112"/>
      <c r="L21" s="112"/>
      <c r="M21" s="112"/>
      <c r="N21" s="112"/>
      <c r="O21" s="112"/>
      <c r="P21" s="112"/>
      <c r="Q21" s="112"/>
    </row>
    <row r="22" spans="2:17" x14ac:dyDescent="0.25">
      <c r="H22" s="14"/>
      <c r="I22" s="14"/>
      <c r="J22" s="1"/>
      <c r="K22" s="112"/>
      <c r="L22" s="112"/>
      <c r="M22" s="112"/>
      <c r="N22" s="112"/>
      <c r="O22" s="112"/>
      <c r="P22" s="112"/>
      <c r="Q22" s="112"/>
    </row>
    <row r="23" spans="2:17" x14ac:dyDescent="0.25">
      <c r="B23" s="2" t="s">
        <v>43</v>
      </c>
      <c r="H23" s="14"/>
      <c r="I23" s="14"/>
      <c r="J23" s="1"/>
      <c r="K23" s="112"/>
      <c r="L23" s="112"/>
      <c r="M23" s="112"/>
      <c r="N23" s="112"/>
      <c r="O23" s="112"/>
      <c r="P23" s="112"/>
      <c r="Q23" s="112"/>
    </row>
    <row r="24" spans="2:17" x14ac:dyDescent="0.25">
      <c r="B24" t="s">
        <v>20</v>
      </c>
      <c r="H24" s="14"/>
      <c r="I24" s="14"/>
      <c r="J24" s="1"/>
      <c r="K24" s="112"/>
      <c r="L24" s="112"/>
      <c r="M24" s="112"/>
      <c r="N24" s="112"/>
      <c r="O24" s="112"/>
      <c r="P24" s="112"/>
      <c r="Q24" s="112"/>
    </row>
    <row r="25" spans="2:17" x14ac:dyDescent="0.25">
      <c r="B25" t="s">
        <v>21</v>
      </c>
      <c r="H25"/>
      <c r="I25" s="14"/>
      <c r="J25" s="1"/>
      <c r="K25" s="112"/>
      <c r="L25" s="112"/>
      <c r="M25" s="112"/>
      <c r="N25" s="112"/>
      <c r="O25" s="112"/>
      <c r="P25" s="112"/>
      <c r="Q25" s="112"/>
    </row>
    <row r="26" spans="2:17" x14ac:dyDescent="0.25">
      <c r="B26" t="s">
        <v>22</v>
      </c>
      <c r="H26"/>
      <c r="I26" s="14"/>
      <c r="J26" s="1"/>
      <c r="K26" s="112"/>
      <c r="L26" s="112"/>
      <c r="M26" s="112"/>
      <c r="N26" s="112"/>
      <c r="O26" s="112"/>
      <c r="P26" s="112"/>
      <c r="Q26" s="112"/>
    </row>
    <row r="27" spans="2:17" x14ac:dyDescent="0.25">
      <c r="B27" t="s">
        <v>23</v>
      </c>
      <c r="H27"/>
      <c r="I27" s="14"/>
      <c r="J27" s="1"/>
      <c r="K27" s="112"/>
      <c r="L27" s="112"/>
      <c r="M27" s="112"/>
      <c r="N27" s="112"/>
      <c r="O27" s="112"/>
      <c r="P27" s="112"/>
      <c r="Q27" s="112"/>
    </row>
    <row r="28" spans="2:17" x14ac:dyDescent="0.25">
      <c r="H28"/>
      <c r="I28" s="14"/>
      <c r="J28" s="1"/>
      <c r="K28" s="112"/>
      <c r="L28" s="112"/>
      <c r="M28" s="112"/>
      <c r="N28" s="112"/>
      <c r="O28" s="112"/>
      <c r="P28" s="112"/>
      <c r="Q28" s="112"/>
    </row>
    <row r="29" spans="2:17" x14ac:dyDescent="0.25">
      <c r="H29"/>
      <c r="I29" s="14"/>
      <c r="J29" s="1"/>
      <c r="K29" s="112"/>
      <c r="L29" s="112"/>
      <c r="M29" s="112"/>
      <c r="N29" s="112"/>
      <c r="O29" s="112"/>
      <c r="P29" s="112"/>
      <c r="Q29" s="112"/>
    </row>
    <row r="30" spans="2:17" x14ac:dyDescent="0.25">
      <c r="G30"/>
      <c r="H30"/>
      <c r="I30" s="14"/>
      <c r="J30" s="1"/>
      <c r="K30" s="112"/>
      <c r="L30" s="112"/>
      <c r="M30" s="112"/>
      <c r="N30" s="112"/>
      <c r="O30" s="112"/>
      <c r="P30" s="112"/>
      <c r="Q30" s="112"/>
    </row>
    <row r="31" spans="2:17" x14ac:dyDescent="0.25">
      <c r="B31" s="2" t="s">
        <v>44</v>
      </c>
      <c r="G31"/>
      <c r="H31"/>
      <c r="I31" s="14"/>
      <c r="J31" s="1"/>
      <c r="K31" s="112"/>
      <c r="L31" s="112"/>
      <c r="M31" s="112"/>
      <c r="N31" s="112"/>
      <c r="O31" s="112"/>
      <c r="P31" s="112"/>
      <c r="Q31" s="112"/>
    </row>
    <row r="32" spans="2:17" x14ac:dyDescent="0.25">
      <c r="B32" t="s">
        <v>24</v>
      </c>
      <c r="H32"/>
      <c r="I32" s="14"/>
      <c r="J32" s="1"/>
      <c r="K32" s="112"/>
      <c r="L32" s="112"/>
      <c r="M32" s="112"/>
      <c r="N32" s="112"/>
      <c r="O32" s="112"/>
      <c r="P32" s="112"/>
      <c r="Q32" s="112"/>
    </row>
    <row r="33" spans="8:17" x14ac:dyDescent="0.25">
      <c r="H33"/>
      <c r="I33" s="14"/>
      <c r="J33" s="1"/>
      <c r="K33" s="112"/>
      <c r="L33" s="112"/>
      <c r="M33" s="112"/>
      <c r="N33" s="112"/>
      <c r="O33" s="112"/>
      <c r="P33" s="112"/>
      <c r="Q33" s="112"/>
    </row>
    <row r="34" spans="8:17" x14ac:dyDescent="0.25">
      <c r="H34" s="14"/>
      <c r="I34" s="14"/>
      <c r="J34" s="1"/>
      <c r="K34" s="112"/>
      <c r="L34" s="112"/>
      <c r="M34" s="112"/>
      <c r="N34" s="112"/>
      <c r="O34" s="112"/>
      <c r="P34" s="112"/>
      <c r="Q34" s="112"/>
    </row>
    <row r="35" spans="8:17" x14ac:dyDescent="0.25">
      <c r="H35" s="14"/>
      <c r="I35" s="14"/>
      <c r="J35" s="1"/>
      <c r="K35" s="112"/>
      <c r="L35" s="112"/>
      <c r="M35" s="112"/>
      <c r="N35" s="112"/>
      <c r="O35" s="112"/>
      <c r="P35" s="112"/>
      <c r="Q35" s="112"/>
    </row>
    <row r="36" spans="8:17" x14ac:dyDescent="0.25">
      <c r="H36" s="14"/>
      <c r="I36" s="14"/>
      <c r="J36" s="1"/>
      <c r="K36" s="112"/>
      <c r="L36" s="112"/>
      <c r="M36" s="112"/>
      <c r="N36" s="112"/>
      <c r="O36" s="112"/>
      <c r="P36" s="112"/>
      <c r="Q36" s="112"/>
    </row>
    <row r="37" spans="8:17" x14ac:dyDescent="0.25">
      <c r="H37" s="14"/>
      <c r="I37" s="14"/>
      <c r="J37" s="1"/>
      <c r="K37" s="112"/>
      <c r="L37" s="112"/>
      <c r="M37" s="112"/>
      <c r="N37" s="112"/>
      <c r="O37" s="112"/>
      <c r="P37" s="112"/>
      <c r="Q37" s="112"/>
    </row>
  </sheetData>
  <mergeCells count="3">
    <mergeCell ref="B3:C3"/>
    <mergeCell ref="F3:Q3"/>
    <mergeCell ref="B15:C15"/>
  </mergeCells>
  <pageMargins left="0.7" right="0.7" top="0.75" bottom="0.75" header="0.3" footer="0.3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</vt:lpstr>
      <vt:lpstr>Year1</vt:lpstr>
      <vt:lpstr>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Bill-Personal</dc:creator>
  <cp:lastModifiedBy>Bill-Personal</cp:lastModifiedBy>
  <dcterms:created xsi:type="dcterms:W3CDTF">2015-06-05T18:17:20Z</dcterms:created>
  <dcterms:modified xsi:type="dcterms:W3CDTF">2023-07-04T16:22:32Z</dcterms:modified>
</cp:coreProperties>
</file>